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ran\Documents\SP17\ISEN 460\"/>
    </mc:Choice>
  </mc:AlternateContent>
  <bookViews>
    <workbookView xWindow="0" yWindow="0" windowWidth="20490" windowHeight="7530" firstSheet="2" activeTab="4"/>
  </bookViews>
  <sheets>
    <sheet name="Feasibility Report 1" sheetId="7" state="hidden" r:id="rId1"/>
    <sheet name="Backup" sheetId="8" state="hidden" r:id="rId2"/>
    <sheet name="Tableau" sheetId="2" r:id="rId3"/>
    <sheet name="Sheet3" sheetId="3" state="hidden" r:id="rId4"/>
    <sheet name="Sheet1" sheetId="1" r:id="rId5"/>
    <sheet name="LP2" sheetId="10" r:id="rId6"/>
    <sheet name="LP" sheetId="4" r:id="rId7"/>
    <sheet name="Tubular Rail Route" sheetId="12" r:id="rId8"/>
    <sheet name="Subway Route" sheetId="11" r:id="rId9"/>
  </sheets>
  <functionGroups builtInGroupCount="18"/>
  <definedNames>
    <definedName name="_xlnm._FilterDatabase" localSheetId="6" hidden="1">LP!$H$1:$H$20</definedName>
    <definedName name="a">LP!$B$7:$E$7</definedName>
    <definedName name="coordinates">Sheet1!$B$45:$S$45</definedName>
    <definedName name="solver_adj" localSheetId="6" hidden="1">LP!$C$4:$J$4</definedName>
    <definedName name="solver_adj" localSheetId="4" hidden="1">Sheet1!#REF!,Sheet1!#REF!,Sheet1!#REF!,Sheet1!#REF!</definedName>
    <definedName name="solver_cvg" localSheetId="6" hidden="1">0.0001</definedName>
    <definedName name="solver_cvg" localSheetId="4" hidden="1">0.0001</definedName>
    <definedName name="solver_drv" localSheetId="6" hidden="1">2</definedName>
    <definedName name="solver_drv" localSheetId="4" hidden="1">1</definedName>
    <definedName name="solver_eng" localSheetId="6" hidden="1">1</definedName>
    <definedName name="solver_eng" localSheetId="4" hidden="1">2</definedName>
    <definedName name="solver_est" localSheetId="6" hidden="1">1</definedName>
    <definedName name="solver_est" localSheetId="4" hidden="1">1</definedName>
    <definedName name="solver_itr" localSheetId="6" hidden="1">2147483647</definedName>
    <definedName name="solver_itr" localSheetId="4" hidden="1">2147483647</definedName>
    <definedName name="solver_lhs1" localSheetId="6" hidden="1">LP!$C$4</definedName>
    <definedName name="solver_lhs1" localSheetId="4" hidden="1">Sheet1!#REF!</definedName>
    <definedName name="solver_lhs10" localSheetId="6" hidden="1">LP!#REF!</definedName>
    <definedName name="solver_lhs10" localSheetId="4" hidden="1">Sheet1!$V$4</definedName>
    <definedName name="solver_lhs11" localSheetId="6" hidden="1">LP!#REF!</definedName>
    <definedName name="solver_lhs11" localSheetId="4" hidden="1">Sheet1!$V$4</definedName>
    <definedName name="solver_lhs12" localSheetId="6" hidden="1">LP!#REF!</definedName>
    <definedName name="solver_lhs12" localSheetId="4" hidden="1">Sheet1!$V$3</definedName>
    <definedName name="solver_lhs13" localSheetId="6" hidden="1">LP!#REF!</definedName>
    <definedName name="solver_lhs14" localSheetId="6" hidden="1">LP!$J$4</definedName>
    <definedName name="solver_lhs2" localSheetId="6" hidden="1">LP!#REF!</definedName>
    <definedName name="solver_lhs2" localSheetId="4" hidden="1">Sheet1!#REF!</definedName>
    <definedName name="solver_lhs3" localSheetId="6" hidden="1">LP!#REF!</definedName>
    <definedName name="solver_lhs3" localSheetId="4" hidden="1">Sheet1!#REF!</definedName>
    <definedName name="solver_lhs4" localSheetId="6" hidden="1">LP!$M$2</definedName>
    <definedName name="solver_lhs4" localSheetId="4" hidden="1">Sheet1!#REF!</definedName>
    <definedName name="solver_lhs5" localSheetId="6" hidden="1">LP!$M$2</definedName>
    <definedName name="solver_lhs5" localSheetId="4" hidden="1">Sheet1!$V$4</definedName>
    <definedName name="solver_lhs6" localSheetId="6" hidden="1">LP!#REF!</definedName>
    <definedName name="solver_lhs6" localSheetId="4" hidden="1">Sheet1!$V$4</definedName>
    <definedName name="solver_lhs7" localSheetId="6" hidden="1">LP!$D$4</definedName>
    <definedName name="solver_lhs7" localSheetId="4" hidden="1">Sheet1!$V$7</definedName>
    <definedName name="solver_lhs8" localSheetId="6" hidden="1">LP!#REF!</definedName>
    <definedName name="solver_lhs8" localSheetId="4" hidden="1">Sheet1!$V$6</definedName>
    <definedName name="solver_lhs9" localSheetId="6" hidden="1">LP!#REF!</definedName>
    <definedName name="solver_lhs9" localSheetId="4" hidden="1">Sheet1!$V$4</definedName>
    <definedName name="solver_mip" localSheetId="6" hidden="1">2147483647</definedName>
    <definedName name="solver_mip" localSheetId="4" hidden="1">2147483647</definedName>
    <definedName name="solver_mni" localSheetId="6" hidden="1">30</definedName>
    <definedName name="solver_mni" localSheetId="4" hidden="1">30</definedName>
    <definedName name="solver_mrt" localSheetId="6" hidden="1">0.075</definedName>
    <definedName name="solver_mrt" localSheetId="4" hidden="1">0.075</definedName>
    <definedName name="solver_msl" localSheetId="6" hidden="1">2</definedName>
    <definedName name="solver_msl" localSheetId="4" hidden="1">2</definedName>
    <definedName name="solver_neg" localSheetId="6" hidden="1">1</definedName>
    <definedName name="solver_neg" localSheetId="4" hidden="1">1</definedName>
    <definedName name="solver_nod" localSheetId="6" hidden="1">2147483647</definedName>
    <definedName name="solver_nod" localSheetId="4" hidden="1">2147483647</definedName>
    <definedName name="solver_num" localSheetId="6" hidden="1">14</definedName>
    <definedName name="solver_num" localSheetId="4" hidden="1">6</definedName>
    <definedName name="solver_nwt" localSheetId="6" hidden="1">1</definedName>
    <definedName name="solver_nwt" localSheetId="4" hidden="1">1</definedName>
    <definedName name="solver_opt" localSheetId="6" hidden="1">LP!$M$1</definedName>
    <definedName name="solver_opt" localSheetId="4" hidden="1">Sheet1!$U$4</definedName>
    <definedName name="solver_pre" localSheetId="6" hidden="1">0.000001</definedName>
    <definedName name="solver_pre" localSheetId="4" hidden="1">0.000001</definedName>
    <definedName name="solver_rbv" localSheetId="6" hidden="1">2</definedName>
    <definedName name="solver_rbv" localSheetId="4" hidden="1">1</definedName>
    <definedName name="solver_rel1" localSheetId="6" hidden="1">5</definedName>
    <definedName name="solver_rel1" localSheetId="4" hidden="1">5</definedName>
    <definedName name="solver_rel10" localSheetId="6" hidden="1">5</definedName>
    <definedName name="solver_rel10" localSheetId="4" hidden="1">3</definedName>
    <definedName name="solver_rel11" localSheetId="6" hidden="1">5</definedName>
    <definedName name="solver_rel11" localSheetId="4" hidden="1">3</definedName>
    <definedName name="solver_rel12" localSheetId="6" hidden="1">5</definedName>
    <definedName name="solver_rel12" localSheetId="4" hidden="1">3</definedName>
    <definedName name="solver_rel13" localSheetId="6" hidden="1">5</definedName>
    <definedName name="solver_rel14" localSheetId="6" hidden="1">5</definedName>
    <definedName name="solver_rel2" localSheetId="6" hidden="1">5</definedName>
    <definedName name="solver_rel2" localSheetId="4" hidden="1">5</definedName>
    <definedName name="solver_rel3" localSheetId="6" hidden="1">5</definedName>
    <definedName name="solver_rel3" localSheetId="4" hidden="1">5</definedName>
    <definedName name="solver_rel4" localSheetId="6" hidden="1">3</definedName>
    <definedName name="solver_rel4" localSheetId="4" hidden="1">5</definedName>
    <definedName name="solver_rel5" localSheetId="6" hidden="1">1</definedName>
    <definedName name="solver_rel5" localSheetId="4" hidden="1">1</definedName>
    <definedName name="solver_rel6" localSheetId="6" hidden="1">5</definedName>
    <definedName name="solver_rel6" localSheetId="4" hidden="1">3</definedName>
    <definedName name="solver_rel7" localSheetId="6" hidden="1">5</definedName>
    <definedName name="solver_rel7" localSheetId="4" hidden="1">3</definedName>
    <definedName name="solver_rel8" localSheetId="6" hidden="1">5</definedName>
    <definedName name="solver_rel8" localSheetId="4" hidden="1">3</definedName>
    <definedName name="solver_rel9" localSheetId="6" hidden="1">5</definedName>
    <definedName name="solver_rel9" localSheetId="4" hidden="1">3</definedName>
    <definedName name="solver_rhs1" localSheetId="6" hidden="1">binary</definedName>
    <definedName name="solver_rhs1" localSheetId="4" hidden="1">binary</definedName>
    <definedName name="solver_rhs10" localSheetId="6" hidden="1">binary</definedName>
    <definedName name="solver_rhs10" localSheetId="4" hidden="1">0.75</definedName>
    <definedName name="solver_rhs11" localSheetId="6" hidden="1">binary</definedName>
    <definedName name="solver_rhs11" localSheetId="4" hidden="1">0.75</definedName>
    <definedName name="solver_rhs12" localSheetId="6" hidden="1">binary</definedName>
    <definedName name="solver_rhs12" localSheetId="4" hidden="1">0.75</definedName>
    <definedName name="solver_rhs13" localSheetId="6" hidden="1">binary</definedName>
    <definedName name="solver_rhs14" localSheetId="6" hidden="1">binary</definedName>
    <definedName name="solver_rhs2" localSheetId="6" hidden="1">binary</definedName>
    <definedName name="solver_rhs2" localSheetId="4" hidden="1">binary</definedName>
    <definedName name="solver_rhs3" localSheetId="6" hidden="1">binary</definedName>
    <definedName name="solver_rhs3" localSheetId="4" hidden="1">binary</definedName>
    <definedName name="solver_rhs4" localSheetId="6" hidden="1">0.5</definedName>
    <definedName name="solver_rhs4" localSheetId="4" hidden="1">binary</definedName>
    <definedName name="solver_rhs5" localSheetId="6" hidden="1">2.5</definedName>
    <definedName name="solver_rhs5" localSheetId="4" hidden="1">2.5</definedName>
    <definedName name="solver_rhs6" localSheetId="6" hidden="1">binary</definedName>
    <definedName name="solver_rhs6" localSheetId="4" hidden="1">0.75</definedName>
    <definedName name="solver_rhs7" localSheetId="6" hidden="1">binary</definedName>
    <definedName name="solver_rhs7" localSheetId="4" hidden="1">0.75</definedName>
    <definedName name="solver_rhs8" localSheetId="6" hidden="1">binary</definedName>
    <definedName name="solver_rhs8" localSheetId="4" hidden="1">0.75</definedName>
    <definedName name="solver_rhs9" localSheetId="6" hidden="1">binary</definedName>
    <definedName name="solver_rhs9" localSheetId="4" hidden="1">0.75</definedName>
    <definedName name="solver_rlx" localSheetId="6" hidden="1">2</definedName>
    <definedName name="solver_rlx" localSheetId="4" hidden="1">2</definedName>
    <definedName name="solver_rsd" localSheetId="6" hidden="1">0</definedName>
    <definedName name="solver_rsd" localSheetId="4" hidden="1">0</definedName>
    <definedName name="solver_scl" localSheetId="6" hidden="1">2</definedName>
    <definedName name="solver_scl" localSheetId="4" hidden="1">1</definedName>
    <definedName name="solver_sho" localSheetId="6" hidden="1">2</definedName>
    <definedName name="solver_sho" localSheetId="4" hidden="1">2</definedName>
    <definedName name="solver_ssz" localSheetId="6" hidden="1">100</definedName>
    <definedName name="solver_ssz" localSheetId="4" hidden="1">100</definedName>
    <definedName name="solver_tim" localSheetId="6" hidden="1">2147483647</definedName>
    <definedName name="solver_tim" localSheetId="4" hidden="1">2147483647</definedName>
    <definedName name="solver_tol" localSheetId="6" hidden="1">0.01</definedName>
    <definedName name="solver_tol" localSheetId="4" hidden="1">0.01</definedName>
    <definedName name="solver_typ" localSheetId="6" hidden="1">2</definedName>
    <definedName name="solver_typ" localSheetId="4" hidden="1">2</definedName>
    <definedName name="solver_val" localSheetId="6" hidden="1">0</definedName>
    <definedName name="solver_val" localSheetId="4" hidden="1">0</definedName>
    <definedName name="solver_ver" localSheetId="6" hidden="1">3</definedName>
    <definedName name="solver_ver" localSheetId="4" hidden="1">3</definedName>
    <definedName name="stops">Sheet1!$A$3:$A$20</definedName>
    <definedName name="weights">Sheet1!$B$1:$S$1</definedName>
    <definedName name="workrow">Sheet1!$B$21:$S$21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11" l="1"/>
  <c r="N11" i="11"/>
  <c r="O10" i="11"/>
  <c r="N10" i="11"/>
  <c r="O6" i="11"/>
  <c r="N6" i="11"/>
  <c r="O4" i="11"/>
  <c r="N4" i="11"/>
  <c r="I5" i="12"/>
  <c r="O2" i="11"/>
  <c r="N2" i="11"/>
  <c r="M7" i="11"/>
  <c r="L7" i="11"/>
  <c r="M5" i="11"/>
  <c r="L5" i="11"/>
  <c r="J4" i="12"/>
  <c r="M3" i="11"/>
  <c r="L3" i="11"/>
  <c r="J6" i="12"/>
  <c r="I4" i="12"/>
  <c r="C21" i="1" l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B21" i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2" i="2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2" i="2"/>
  <c r="E3" i="2"/>
  <c r="F3" i="2" s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2" i="2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2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</calcChain>
</file>

<file path=xl/sharedStrings.xml><?xml version="1.0" encoding="utf-8"?>
<sst xmlns="http://schemas.openxmlformats.org/spreadsheetml/2006/main" count="565" uniqueCount="53">
  <si>
    <t>DISTANCE</t>
  </si>
  <si>
    <t>MSC</t>
  </si>
  <si>
    <t>Trigon</t>
  </si>
  <si>
    <t>Wehner</t>
  </si>
  <si>
    <t>Reed Arena</t>
  </si>
  <si>
    <t>Kleberg</t>
  </si>
  <si>
    <t>White Creek</t>
  </si>
  <si>
    <t>Fish Pond</t>
  </si>
  <si>
    <t>Beutel</t>
  </si>
  <si>
    <t>Ross and Spence</t>
  </si>
  <si>
    <t>Ross and Ireland</t>
  </si>
  <si>
    <t>Hensel @ Texas</t>
  </si>
  <si>
    <t>VTED</t>
  </si>
  <si>
    <t>Bush School</t>
  </si>
  <si>
    <t>Commons</t>
  </si>
  <si>
    <t>Blue Bell Park</t>
  </si>
  <si>
    <t>Ag Building</t>
  </si>
  <si>
    <t>Physical Education</t>
  </si>
  <si>
    <t>GSC</t>
  </si>
  <si>
    <t>-</t>
  </si>
  <si>
    <t>PLAUSIBILITY</t>
  </si>
  <si>
    <t>COORDINATES</t>
  </si>
  <si>
    <t>X</t>
  </si>
  <si>
    <t>Y</t>
  </si>
  <si>
    <t>Location</t>
  </si>
  <si>
    <t>Ridership</t>
  </si>
  <si>
    <t>weight</t>
  </si>
  <si>
    <t>weights</t>
  </si>
  <si>
    <t>Microsoft Excel 16.0 Feasibility Report</t>
  </si>
  <si>
    <t>Worksheet: [Bus Route Distances.xlsm]Sheet1</t>
  </si>
  <si>
    <t>Report Created: 4/10/2017 7:57:59 PM</t>
  </si>
  <si>
    <t>Constraints (not including Variable Bounds) Which Make the Problem Infeasible</t>
  </si>
  <si>
    <t>Cell</t>
  </si>
  <si>
    <t>Name</t>
  </si>
  <si>
    <t>Cell Value</t>
  </si>
  <si>
    <t>Formula</t>
  </si>
  <si>
    <t>Status</t>
  </si>
  <si>
    <t>Slack</t>
  </si>
  <si>
    <t>$V$4</t>
  </si>
  <si>
    <t>- totdist</t>
  </si>
  <si>
    <t>$V$4&lt;=2.5</t>
  </si>
  <si>
    <t>Violated</t>
  </si>
  <si>
    <t>Route</t>
  </si>
  <si>
    <t>Distance</t>
  </si>
  <si>
    <t>No options</t>
  </si>
  <si>
    <t>Objective Function</t>
  </si>
  <si>
    <t>Start</t>
  </si>
  <si>
    <t>Subway System</t>
  </si>
  <si>
    <t>Tubular Rail</t>
  </si>
  <si>
    <t>Low</t>
  </si>
  <si>
    <t>High</t>
  </si>
  <si>
    <t>cost*month/passenger*mile</t>
  </si>
  <si>
    <t>Light 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</si>
</sst>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2" xfId="0" applyFont="1" applyFill="1" applyBorder="1" applyAlignment="1">
      <alignment horizontal="center"/>
    </xf>
    <xf numFmtId="0" fontId="0" fillId="0" borderId="0" xfId="0" applyNumberFormat="1"/>
    <xf numFmtId="6" fontId="0" fillId="0" borderId="0" xfId="0" applyNumberFormat="1"/>
    <xf numFmtId="8" fontId="0" fillId="0" borderId="0" xfId="0" applyNumberFormat="1"/>
    <xf numFmtId="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showGridLines="0" workbookViewId="0">
      <selection activeCell="C8" sqref="C8"/>
    </sheetView>
  </sheetViews>
  <sheetFormatPr defaultRowHeight="15" x14ac:dyDescent="0.25"/>
  <cols>
    <col min="1" max="1" width="2.28515625" customWidth="1"/>
    <col min="2" max="2" width="5.28515625" bestFit="1" customWidth="1"/>
    <col min="3" max="3" width="8" bestFit="1" customWidth="1"/>
    <col min="4" max="4" width="10" bestFit="1" customWidth="1"/>
    <col min="5" max="5" width="9.85546875" bestFit="1" customWidth="1"/>
    <col min="6" max="6" width="8.5703125" bestFit="1" customWidth="1"/>
    <col min="7" max="7" width="6.7109375" bestFit="1" customWidth="1"/>
  </cols>
  <sheetData>
    <row r="1" spans="1:7" x14ac:dyDescent="0.25">
      <c r="A1" s="2" t="s">
        <v>28</v>
      </c>
    </row>
    <row r="2" spans="1:7" x14ac:dyDescent="0.25">
      <c r="A2" s="2" t="s">
        <v>29</v>
      </c>
    </row>
    <row r="3" spans="1:7" x14ac:dyDescent="0.25">
      <c r="A3" s="2" t="s">
        <v>30</v>
      </c>
    </row>
    <row r="6" spans="1:7" ht="15.75" thickBot="1" x14ac:dyDescent="0.3">
      <c r="A6" t="s">
        <v>31</v>
      </c>
    </row>
    <row r="7" spans="1:7" ht="15.75" thickBot="1" x14ac:dyDescent="0.3">
      <c r="B7" s="3" t="s">
        <v>32</v>
      </c>
      <c r="C7" s="3" t="s">
        <v>33</v>
      </c>
      <c r="D7" s="3" t="s">
        <v>34</v>
      </c>
      <c r="E7" s="3" t="s">
        <v>35</v>
      </c>
      <c r="F7" s="3" t="s">
        <v>36</v>
      </c>
      <c r="G7" s="3" t="s">
        <v>37</v>
      </c>
    </row>
    <row r="8" spans="1:7" x14ac:dyDescent="0.25">
      <c r="B8" t="s">
        <v>38</v>
      </c>
      <c r="C8" t="s">
        <v>39</v>
      </c>
      <c r="D8" s="4">
        <v>2.6619999999999999</v>
      </c>
      <c r="E8" t="s">
        <v>40</v>
      </c>
      <c r="F8" t="s">
        <v>41</v>
      </c>
      <c r="G8">
        <v>-0.16199999999999992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1"/>
  <sheetViews>
    <sheetView workbookViewId="0">
      <selection sqref="A1:S41"/>
    </sheetView>
  </sheetViews>
  <sheetFormatPr defaultRowHeight="15" x14ac:dyDescent="0.25"/>
  <sheetData>
    <row r="1" spans="1:19" x14ac:dyDescent="0.25">
      <c r="A1" s="1" t="s">
        <v>27</v>
      </c>
      <c r="B1" s="1">
        <v>0.7494709803938</v>
      </c>
      <c r="C1" s="1">
        <v>0.79000540542805542</v>
      </c>
      <c r="D1" s="1">
        <v>0.88588470934301</v>
      </c>
      <c r="E1" s="1">
        <v>0.9267878767562403</v>
      </c>
      <c r="F1" s="1">
        <v>0.96642558736889739</v>
      </c>
      <c r="G1" s="1">
        <v>0.93581577965966756</v>
      </c>
      <c r="H1" s="1">
        <v>0.94</v>
      </c>
      <c r="I1" s="1">
        <v>0.95718398149583694</v>
      </c>
      <c r="J1" s="1">
        <v>0.96159422415346385</v>
      </c>
      <c r="K1" s="1">
        <v>0.96796760095370193</v>
      </c>
      <c r="L1" s="1">
        <v>0.97055089273368</v>
      </c>
      <c r="M1" s="1">
        <v>0.97507008200327683</v>
      </c>
      <c r="N1" s="1">
        <v>0.97816248968149877</v>
      </c>
      <c r="O1" s="1">
        <v>0.9819441941931456</v>
      </c>
      <c r="P1" s="1">
        <v>0.98600455061617687</v>
      </c>
      <c r="Q1" s="1">
        <v>0.98885182841746666</v>
      </c>
      <c r="R1" s="1">
        <v>0.98901315320826821</v>
      </c>
      <c r="S1" s="1">
        <v>0.98926666359381354</v>
      </c>
    </row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</row>
    <row r="3" spans="1:19" x14ac:dyDescent="0.25">
      <c r="A3" s="2" t="s">
        <v>1</v>
      </c>
      <c r="B3" s="2"/>
      <c r="C3" s="2">
        <v>0.159</v>
      </c>
      <c r="D3" s="2">
        <v>0.56899999999999995</v>
      </c>
      <c r="E3" s="2">
        <v>0.53300000000000003</v>
      </c>
      <c r="F3" s="2">
        <v>0.39900000000000002</v>
      </c>
      <c r="G3" s="2">
        <v>0.96199999999999997</v>
      </c>
      <c r="H3" s="2">
        <v>0.317</v>
      </c>
      <c r="I3" s="2">
        <v>0.23499999999999999</v>
      </c>
      <c r="J3" s="2">
        <v>0.46300000000000002</v>
      </c>
      <c r="K3" s="2">
        <v>0.36799999999999999</v>
      </c>
      <c r="L3" s="2">
        <v>1.266</v>
      </c>
      <c r="M3" s="2">
        <v>1.1140000000000001</v>
      </c>
      <c r="N3" s="2">
        <v>1.282</v>
      </c>
      <c r="O3" s="2">
        <v>0.35599999999999998</v>
      </c>
      <c r="P3" s="2">
        <v>0.52300000000000002</v>
      </c>
      <c r="Q3" s="2">
        <v>0.747</v>
      </c>
      <c r="R3" s="2">
        <v>0.74199999999999999</v>
      </c>
      <c r="S3" s="2">
        <v>1.1910000000000001</v>
      </c>
    </row>
    <row r="4" spans="1:19" x14ac:dyDescent="0.25">
      <c r="A4" s="2" t="s">
        <v>2</v>
      </c>
      <c r="B4" s="2">
        <v>0.159</v>
      </c>
      <c r="C4" s="2" t="s">
        <v>19</v>
      </c>
      <c r="D4" s="2">
        <v>0.70199999999999996</v>
      </c>
      <c r="E4" s="2">
        <v>0.67300000000000004</v>
      </c>
      <c r="F4" s="2">
        <v>0.53</v>
      </c>
      <c r="G4" s="2">
        <v>1.103</v>
      </c>
      <c r="H4" s="2">
        <v>0.312</v>
      </c>
      <c r="I4" s="2">
        <v>0.253</v>
      </c>
      <c r="J4" s="2">
        <v>0.35399999999999998</v>
      </c>
      <c r="K4" s="2">
        <v>0.29199999999999998</v>
      </c>
      <c r="L4" s="2">
        <v>1.1339999999999999</v>
      </c>
      <c r="M4" s="2">
        <v>1.228</v>
      </c>
      <c r="N4" s="2">
        <v>1.4159999999999999</v>
      </c>
      <c r="O4" s="2">
        <v>0.214</v>
      </c>
      <c r="P4" s="2">
        <v>0.622</v>
      </c>
      <c r="Q4" s="2">
        <v>0.89</v>
      </c>
      <c r="R4" s="2">
        <v>0.88500000000000001</v>
      </c>
      <c r="S4" s="2">
        <v>1.234</v>
      </c>
    </row>
    <row r="5" spans="1:19" x14ac:dyDescent="0.25">
      <c r="A5" s="2" t="s">
        <v>3</v>
      </c>
      <c r="B5" s="2">
        <v>0.56899999999999995</v>
      </c>
      <c r="C5" s="2">
        <v>0.70199999999999996</v>
      </c>
      <c r="D5" s="2" t="s">
        <v>19</v>
      </c>
      <c r="E5" s="2">
        <v>0.43099999999999999</v>
      </c>
      <c r="F5" s="2">
        <v>0.20200000000000001</v>
      </c>
      <c r="G5" s="2">
        <v>0.39800000000000002</v>
      </c>
      <c r="H5" s="2">
        <v>0.58599999999999997</v>
      </c>
      <c r="I5" s="2">
        <v>0.56799999999999995</v>
      </c>
      <c r="J5" s="2">
        <v>0.876</v>
      </c>
      <c r="K5" s="2">
        <v>0.74</v>
      </c>
      <c r="L5" s="2">
        <v>1.5289999999999999</v>
      </c>
      <c r="M5" s="2">
        <v>0.53600000000000003</v>
      </c>
      <c r="N5" s="2">
        <v>0.94499999999999995</v>
      </c>
      <c r="O5" s="2">
        <v>0.92900000000000005</v>
      </c>
      <c r="P5" s="2">
        <v>0.67100000000000004</v>
      </c>
      <c r="Q5" s="2">
        <v>0.36599999999999999</v>
      </c>
      <c r="R5" s="2">
        <v>0.44600000000000001</v>
      </c>
      <c r="S5" s="2">
        <v>0.88800000000000001</v>
      </c>
    </row>
    <row r="6" spans="1:19" x14ac:dyDescent="0.25">
      <c r="A6" s="2" t="s">
        <v>4</v>
      </c>
      <c r="B6" s="2">
        <v>0.53300000000000003</v>
      </c>
      <c r="C6" s="2">
        <v>0.67300000000000004</v>
      </c>
      <c r="D6" s="2">
        <v>0.43099999999999999</v>
      </c>
      <c r="E6" s="2" t="s">
        <v>19</v>
      </c>
      <c r="F6" s="2">
        <v>0.33500000000000002</v>
      </c>
      <c r="G6" s="2">
        <v>0.6</v>
      </c>
      <c r="H6" s="2">
        <v>0.76800000000000002</v>
      </c>
      <c r="I6" s="2">
        <v>0.71199999999999997</v>
      </c>
      <c r="J6" s="2">
        <v>1.0029999999999999</v>
      </c>
      <c r="K6" s="2">
        <v>0.88</v>
      </c>
      <c r="L6" s="2">
        <v>1.762</v>
      </c>
      <c r="M6" s="2">
        <v>0.80800000000000005</v>
      </c>
      <c r="N6" s="2">
        <v>0.69899999999999995</v>
      </c>
      <c r="O6" s="2">
        <v>0.89800000000000002</v>
      </c>
      <c r="P6" s="2">
        <v>0.29099999999999998</v>
      </c>
      <c r="Q6" s="2">
        <v>0.26500000000000001</v>
      </c>
      <c r="R6" s="2">
        <v>0.17699999999999999</v>
      </c>
      <c r="S6" s="2">
        <v>1.319</v>
      </c>
    </row>
    <row r="7" spans="1:19" x14ac:dyDescent="0.25">
      <c r="A7" s="2" t="s">
        <v>5</v>
      </c>
      <c r="B7" s="2">
        <v>0.39900000000000002</v>
      </c>
      <c r="C7" s="2">
        <v>0.53</v>
      </c>
      <c r="D7" s="2">
        <v>0.20200000000000001</v>
      </c>
      <c r="E7" s="2">
        <v>0.33500000000000002</v>
      </c>
      <c r="F7" s="2" t="s">
        <v>19</v>
      </c>
      <c r="G7" s="2">
        <v>0.56999999999999995</v>
      </c>
      <c r="H7" s="2">
        <v>0.46300000000000002</v>
      </c>
      <c r="I7" s="2">
        <v>0.442</v>
      </c>
      <c r="J7" s="2">
        <v>0.74099999999999999</v>
      </c>
      <c r="K7" s="2">
        <v>0.60899999999999999</v>
      </c>
      <c r="L7" s="2">
        <v>1.458</v>
      </c>
      <c r="M7" s="2">
        <v>0.65800000000000003</v>
      </c>
      <c r="N7" s="2">
        <v>0.98499999999999999</v>
      </c>
      <c r="O7" s="2">
        <v>0.748</v>
      </c>
      <c r="P7" s="2">
        <v>0.52600000000000002</v>
      </c>
      <c r="Q7" s="2">
        <v>0.41199999999999998</v>
      </c>
      <c r="R7" s="2">
        <v>0.44500000000000001</v>
      </c>
      <c r="S7" s="2">
        <v>1.0049999999999999</v>
      </c>
    </row>
    <row r="8" spans="1:19" x14ac:dyDescent="0.25">
      <c r="A8" s="2" t="s">
        <v>6</v>
      </c>
      <c r="B8" s="2">
        <v>0.96199999999999997</v>
      </c>
      <c r="C8" s="2">
        <v>1.103</v>
      </c>
      <c r="D8" s="2">
        <v>0.39800000000000002</v>
      </c>
      <c r="E8" s="2">
        <v>0.6</v>
      </c>
      <c r="F8" s="2">
        <v>0.56999999999999995</v>
      </c>
      <c r="G8" s="2" t="s">
        <v>19</v>
      </c>
      <c r="H8" s="2">
        <v>0.98399999999999999</v>
      </c>
      <c r="I8" s="2">
        <v>0.97299999999999998</v>
      </c>
      <c r="J8" s="2">
        <v>1.2789999999999999</v>
      </c>
      <c r="K8" s="2">
        <v>1.139</v>
      </c>
      <c r="L8" s="2">
        <v>1.91</v>
      </c>
      <c r="M8" s="2">
        <v>0.20200000000000001</v>
      </c>
      <c r="N8" s="2">
        <v>0.747</v>
      </c>
      <c r="O8" s="2">
        <v>1.3160000000000001</v>
      </c>
      <c r="P8" s="2">
        <v>0.89600000000000002</v>
      </c>
      <c r="Q8" s="2">
        <v>0.36199999999999999</v>
      </c>
      <c r="R8" s="2">
        <v>0.46400000000000002</v>
      </c>
      <c r="S8" s="2">
        <v>1.018</v>
      </c>
    </row>
    <row r="9" spans="1:19" x14ac:dyDescent="0.25">
      <c r="A9" s="2" t="s">
        <v>7</v>
      </c>
      <c r="B9" s="2">
        <v>0.317</v>
      </c>
      <c r="C9" s="2">
        <v>0.312</v>
      </c>
      <c r="D9" s="2">
        <v>0.58599999999999997</v>
      </c>
      <c r="E9" s="2">
        <v>0.76800000000000002</v>
      </c>
      <c r="F9" s="2">
        <v>0.46300000000000002</v>
      </c>
      <c r="G9" s="2">
        <v>0.98399999999999999</v>
      </c>
      <c r="H9" s="2" t="s">
        <v>19</v>
      </c>
      <c r="I9" s="2">
        <v>7.0999999999999994E-2</v>
      </c>
      <c r="J9" s="2">
        <v>0.29899999999999999</v>
      </c>
      <c r="K9" s="2">
        <v>0.159</v>
      </c>
      <c r="L9" s="2">
        <v>0.998</v>
      </c>
      <c r="M9" s="2">
        <v>1.0129999999999999</v>
      </c>
      <c r="N9" s="2">
        <v>1.4410000000000001</v>
      </c>
      <c r="O9" s="2">
        <v>0.45</v>
      </c>
      <c r="P9" s="2">
        <v>0.79900000000000004</v>
      </c>
      <c r="Q9" s="2">
        <v>0.873</v>
      </c>
      <c r="R9" s="2">
        <v>0.90300000000000002</v>
      </c>
      <c r="S9" s="2">
        <v>0.92900000000000005</v>
      </c>
    </row>
    <row r="10" spans="1:19" x14ac:dyDescent="0.25">
      <c r="A10" s="2" t="s">
        <v>8</v>
      </c>
      <c r="B10" s="2">
        <v>0.23499999999999999</v>
      </c>
      <c r="C10" s="2">
        <v>0.253</v>
      </c>
      <c r="D10" s="2">
        <v>0.56799999999999995</v>
      </c>
      <c r="E10" s="2">
        <v>0.71199999999999997</v>
      </c>
      <c r="F10" s="2">
        <v>0.442</v>
      </c>
      <c r="G10" s="2">
        <v>0.97299999999999998</v>
      </c>
      <c r="H10" s="2">
        <v>7.0999999999999994E-2</v>
      </c>
      <c r="I10" s="2" t="s">
        <v>19</v>
      </c>
      <c r="J10" s="2">
        <v>0.314</v>
      </c>
      <c r="K10" s="2">
        <v>0.17699999999999999</v>
      </c>
      <c r="L10" s="2">
        <v>1.05</v>
      </c>
      <c r="M10" s="2">
        <v>1.004</v>
      </c>
      <c r="N10" s="2">
        <v>1.397</v>
      </c>
      <c r="O10" s="2">
        <v>0.41</v>
      </c>
      <c r="P10" s="2">
        <v>0.73199999999999998</v>
      </c>
      <c r="Q10" s="2">
        <v>0.85399999999999998</v>
      </c>
      <c r="R10" s="2">
        <v>0.86199999999999999</v>
      </c>
      <c r="S10" s="2">
        <v>0.98499999999999999</v>
      </c>
    </row>
    <row r="11" spans="1:19" x14ac:dyDescent="0.25">
      <c r="A11" s="2" t="s">
        <v>9</v>
      </c>
      <c r="B11" s="2">
        <v>0.46300000000000002</v>
      </c>
      <c r="C11" s="2">
        <v>0.35399999999999998</v>
      </c>
      <c r="D11" s="2">
        <v>0.876</v>
      </c>
      <c r="E11" s="2">
        <v>1.0029999999999999</v>
      </c>
      <c r="F11" s="2">
        <v>0.74099999999999999</v>
      </c>
      <c r="G11" s="2">
        <v>1.2789999999999999</v>
      </c>
      <c r="H11" s="2">
        <v>0.29899999999999999</v>
      </c>
      <c r="I11" s="2">
        <v>0.314</v>
      </c>
      <c r="J11" s="2" t="s">
        <v>19</v>
      </c>
      <c r="K11" s="2">
        <v>0.14000000000000001</v>
      </c>
      <c r="L11" s="2">
        <v>0.78600000000000003</v>
      </c>
      <c r="M11" s="2">
        <v>1.296</v>
      </c>
      <c r="N11" s="2">
        <v>1.6990000000000001</v>
      </c>
      <c r="O11" s="2">
        <v>0.33600000000000002</v>
      </c>
      <c r="P11" s="2">
        <v>0.97</v>
      </c>
      <c r="Q11" s="2">
        <v>1.1519999999999999</v>
      </c>
      <c r="R11" s="2">
        <v>1.1719999999999999</v>
      </c>
      <c r="S11" s="2">
        <v>1.1000000000000001</v>
      </c>
    </row>
    <row r="12" spans="1:19" x14ac:dyDescent="0.25">
      <c r="A12" s="2" t="s">
        <v>10</v>
      </c>
      <c r="B12" s="2">
        <v>0.36799999999999999</v>
      </c>
      <c r="C12" s="2">
        <v>0.29199999999999998</v>
      </c>
      <c r="D12" s="2">
        <v>0.74</v>
      </c>
      <c r="E12" s="2">
        <v>0.88</v>
      </c>
      <c r="F12" s="2">
        <v>0.60899999999999999</v>
      </c>
      <c r="G12" s="2">
        <v>1.139</v>
      </c>
      <c r="H12" s="2">
        <v>0.159</v>
      </c>
      <c r="I12" s="2">
        <v>0.17699999999999999</v>
      </c>
      <c r="J12" s="2">
        <v>0.14000000000000001</v>
      </c>
      <c r="K12" s="2" t="s">
        <v>19</v>
      </c>
      <c r="L12" s="2">
        <v>0.88800000000000001</v>
      </c>
      <c r="M12" s="2">
        <v>1.151</v>
      </c>
      <c r="N12" s="2">
        <v>1.5720000000000001</v>
      </c>
      <c r="O12" s="2">
        <v>0.36099999999999999</v>
      </c>
      <c r="P12" s="2">
        <v>0.875</v>
      </c>
      <c r="Q12" s="2">
        <v>1.016</v>
      </c>
      <c r="R12" s="2">
        <v>1.0289999999999999</v>
      </c>
      <c r="S12" s="2">
        <v>1.02</v>
      </c>
    </row>
    <row r="13" spans="1:19" x14ac:dyDescent="0.25">
      <c r="A13" s="2" t="s">
        <v>11</v>
      </c>
      <c r="B13" s="2">
        <v>1.266</v>
      </c>
      <c r="C13" s="2">
        <v>1.1339999999999999</v>
      </c>
      <c r="D13" s="2">
        <v>1.5289999999999999</v>
      </c>
      <c r="E13" s="2">
        <v>1.762</v>
      </c>
      <c r="F13" s="2">
        <v>1.458</v>
      </c>
      <c r="G13" s="2">
        <v>1.91</v>
      </c>
      <c r="H13" s="2">
        <v>0.998</v>
      </c>
      <c r="I13" s="2">
        <v>1.05</v>
      </c>
      <c r="J13" s="2">
        <v>0.78600000000000003</v>
      </c>
      <c r="K13" s="2">
        <v>0.88800000000000001</v>
      </c>
      <c r="L13" s="2" t="s">
        <v>19</v>
      </c>
      <c r="M13" s="2">
        <v>1.851</v>
      </c>
      <c r="N13" s="2">
        <v>2.4390000000000001</v>
      </c>
      <c r="O13" s="2">
        <v>1.048</v>
      </c>
      <c r="P13" s="2">
        <v>1.752</v>
      </c>
      <c r="Q13" s="2">
        <v>1.869</v>
      </c>
      <c r="R13" s="2">
        <v>1.9</v>
      </c>
      <c r="S13" s="2">
        <v>1.274</v>
      </c>
    </row>
    <row r="14" spans="1:19" x14ac:dyDescent="0.25">
      <c r="A14" s="2" t="s">
        <v>12</v>
      </c>
      <c r="B14" s="2">
        <v>1.1140000000000001</v>
      </c>
      <c r="C14" s="2">
        <v>1.228</v>
      </c>
      <c r="D14" s="2">
        <v>0.53600000000000003</v>
      </c>
      <c r="E14" s="2">
        <v>0.80800000000000005</v>
      </c>
      <c r="F14" s="2">
        <v>0.65800000000000003</v>
      </c>
      <c r="G14" s="2">
        <v>0.20200000000000001</v>
      </c>
      <c r="H14" s="2">
        <v>1.0129999999999999</v>
      </c>
      <c r="I14" s="2">
        <v>1.004</v>
      </c>
      <c r="J14" s="2">
        <v>1.296</v>
      </c>
      <c r="K14" s="2">
        <v>1.151</v>
      </c>
      <c r="L14" s="2">
        <v>1.851</v>
      </c>
      <c r="M14" s="2" t="s">
        <v>19</v>
      </c>
      <c r="N14" s="2">
        <v>0.94099999999999995</v>
      </c>
      <c r="O14" s="2">
        <v>1.3859999999999999</v>
      </c>
      <c r="P14" s="2">
        <v>1.0589999999999999</v>
      </c>
      <c r="Q14" s="2">
        <v>0.55300000000000005</v>
      </c>
      <c r="R14" s="2">
        <v>0.64800000000000002</v>
      </c>
      <c r="S14" s="2">
        <v>0.85899999999999999</v>
      </c>
    </row>
    <row r="15" spans="1:19" x14ac:dyDescent="0.25">
      <c r="A15" s="2" t="s">
        <v>13</v>
      </c>
      <c r="B15" s="2">
        <v>1.282</v>
      </c>
      <c r="C15" s="2">
        <v>1.4159999999999999</v>
      </c>
      <c r="D15" s="2">
        <v>0.94499999999999995</v>
      </c>
      <c r="E15" s="2">
        <v>0.69899999999999995</v>
      </c>
      <c r="F15" s="2">
        <v>0.98499999999999999</v>
      </c>
      <c r="G15" s="2">
        <v>0.747</v>
      </c>
      <c r="H15" s="2">
        <v>1.4410000000000001</v>
      </c>
      <c r="I15" s="2">
        <v>1.397</v>
      </c>
      <c r="J15" s="2">
        <v>1.6990000000000001</v>
      </c>
      <c r="K15" s="2">
        <v>1.5720000000000001</v>
      </c>
      <c r="L15" s="2">
        <v>2.4390000000000001</v>
      </c>
      <c r="M15" s="2">
        <v>0.94099999999999995</v>
      </c>
      <c r="N15" s="2" t="s">
        <v>19</v>
      </c>
      <c r="O15" s="2">
        <v>1.591</v>
      </c>
      <c r="P15" s="2">
        <v>0.85599999999999998</v>
      </c>
      <c r="Q15" s="2">
        <v>0.58399999999999996</v>
      </c>
      <c r="R15" s="2">
        <v>0.55000000000000004</v>
      </c>
      <c r="S15" s="2">
        <v>1.754</v>
      </c>
    </row>
    <row r="16" spans="1:19" x14ac:dyDescent="0.25">
      <c r="A16" s="2" t="s">
        <v>14</v>
      </c>
      <c r="B16" s="2">
        <v>0.35599999999999998</v>
      </c>
      <c r="C16" s="2">
        <v>0.214</v>
      </c>
      <c r="D16" s="2">
        <v>0.92900000000000005</v>
      </c>
      <c r="E16" s="2">
        <v>0.89800000000000002</v>
      </c>
      <c r="F16" s="2">
        <v>0.748</v>
      </c>
      <c r="G16" s="2">
        <v>1.3160000000000001</v>
      </c>
      <c r="H16" s="2">
        <v>0.45</v>
      </c>
      <c r="I16" s="2">
        <v>0.41</v>
      </c>
      <c r="J16" s="2">
        <v>0.33600000000000002</v>
      </c>
      <c r="K16" s="2">
        <v>0.36099999999999999</v>
      </c>
      <c r="L16" s="2">
        <v>1.048</v>
      </c>
      <c r="M16" s="2">
        <v>1.3859999999999999</v>
      </c>
      <c r="N16" s="2">
        <v>1.591</v>
      </c>
      <c r="O16" s="2" t="s">
        <v>19</v>
      </c>
      <c r="P16" s="2">
        <v>0.77200000000000002</v>
      </c>
      <c r="Q16" s="2">
        <v>1.099</v>
      </c>
      <c r="R16" s="2">
        <v>1.0960000000000001</v>
      </c>
      <c r="S16" s="2">
        <v>1.367</v>
      </c>
    </row>
    <row r="17" spans="1:19" x14ac:dyDescent="0.25">
      <c r="A17" s="2" t="s">
        <v>15</v>
      </c>
      <c r="B17" s="2">
        <v>0.52300000000000002</v>
      </c>
      <c r="C17" s="2">
        <v>0.622</v>
      </c>
      <c r="D17" s="2">
        <v>0.67100000000000004</v>
      </c>
      <c r="E17" s="2">
        <v>0.29099999999999998</v>
      </c>
      <c r="F17" s="2">
        <v>0.52600000000000002</v>
      </c>
      <c r="G17" s="2">
        <v>0.89600000000000002</v>
      </c>
      <c r="H17" s="2">
        <v>0.79900000000000004</v>
      </c>
      <c r="I17" s="2">
        <v>0.73199999999999998</v>
      </c>
      <c r="J17" s="2">
        <v>0.97</v>
      </c>
      <c r="K17" s="2">
        <v>0.875</v>
      </c>
      <c r="L17" s="2">
        <v>1.752</v>
      </c>
      <c r="M17" s="2">
        <v>1.0589999999999999</v>
      </c>
      <c r="N17" s="2">
        <v>0.85599999999999998</v>
      </c>
      <c r="O17" s="2">
        <v>0.77200000000000002</v>
      </c>
      <c r="P17" s="2" t="s">
        <v>19</v>
      </c>
      <c r="Q17" s="2">
        <v>0.49199999999999999</v>
      </c>
      <c r="R17" s="2">
        <v>0.45200000000000001</v>
      </c>
      <c r="S17" s="2">
        <v>1.522</v>
      </c>
    </row>
    <row r="18" spans="1:19" x14ac:dyDescent="0.25">
      <c r="A18" s="2" t="s">
        <v>16</v>
      </c>
      <c r="B18" s="2">
        <v>0.747</v>
      </c>
      <c r="C18" s="2">
        <v>0.89</v>
      </c>
      <c r="D18" s="2">
        <v>0.36599999999999999</v>
      </c>
      <c r="E18" s="2">
        <v>0.26500000000000001</v>
      </c>
      <c r="F18" s="2">
        <v>0.41199999999999998</v>
      </c>
      <c r="G18" s="2">
        <v>0.36199999999999999</v>
      </c>
      <c r="H18" s="2">
        <v>0.873</v>
      </c>
      <c r="I18" s="2">
        <v>0.85399999999999998</v>
      </c>
      <c r="J18" s="2">
        <v>1.1519999999999999</v>
      </c>
      <c r="K18" s="2">
        <v>1.016</v>
      </c>
      <c r="L18" s="2">
        <v>1.869</v>
      </c>
      <c r="M18" s="2">
        <v>0.55300000000000005</v>
      </c>
      <c r="N18" s="2">
        <v>0.58399999999999996</v>
      </c>
      <c r="O18" s="2">
        <v>1.099</v>
      </c>
      <c r="P18" s="2">
        <v>0.49199999999999999</v>
      </c>
      <c r="Q18" s="2" t="s">
        <v>19</v>
      </c>
      <c r="R18" s="2">
        <v>8.8999999999999996E-2</v>
      </c>
      <c r="S18" s="2">
        <v>1.234</v>
      </c>
    </row>
    <row r="19" spans="1:19" x14ac:dyDescent="0.25">
      <c r="A19" s="2" t="s">
        <v>17</v>
      </c>
      <c r="B19" s="2">
        <v>0.74199999999999999</v>
      </c>
      <c r="C19" s="2">
        <v>0.88500000000000001</v>
      </c>
      <c r="D19" s="2">
        <v>0.44600000000000001</v>
      </c>
      <c r="E19" s="2">
        <v>0.17699999999999999</v>
      </c>
      <c r="F19" s="2">
        <v>0.44500000000000001</v>
      </c>
      <c r="G19" s="2">
        <v>0.46400000000000002</v>
      </c>
      <c r="H19" s="2">
        <v>0.90300000000000002</v>
      </c>
      <c r="I19" s="2">
        <v>0.86199999999999999</v>
      </c>
      <c r="J19" s="2">
        <v>1.1719999999999999</v>
      </c>
      <c r="K19" s="2">
        <v>1.0289999999999999</v>
      </c>
      <c r="L19" s="2">
        <v>1.9</v>
      </c>
      <c r="M19" s="2">
        <v>0.64800000000000002</v>
      </c>
      <c r="N19" s="2">
        <v>0.55000000000000004</v>
      </c>
      <c r="O19" s="2">
        <v>1.0960000000000001</v>
      </c>
      <c r="P19" s="2">
        <v>0.45200000000000001</v>
      </c>
      <c r="Q19" s="2">
        <v>8.8999999999999996E-2</v>
      </c>
      <c r="R19" s="2" t="s">
        <v>19</v>
      </c>
      <c r="S19" s="2">
        <v>1.3089999999999999</v>
      </c>
    </row>
    <row r="20" spans="1:19" x14ac:dyDescent="0.25">
      <c r="A20" s="2" t="s">
        <v>18</v>
      </c>
      <c r="B20" s="2">
        <v>1.1910000000000001</v>
      </c>
      <c r="C20" s="2">
        <v>1.234</v>
      </c>
      <c r="D20" s="2">
        <v>0.88800000000000001</v>
      </c>
      <c r="E20" s="2">
        <v>1.319</v>
      </c>
      <c r="F20" s="2">
        <v>1.0049999999999999</v>
      </c>
      <c r="G20" s="2">
        <v>1.018</v>
      </c>
      <c r="H20" s="2">
        <v>0.92900000000000005</v>
      </c>
      <c r="I20" s="2">
        <v>0.98499999999999999</v>
      </c>
      <c r="J20" s="2">
        <v>1.1000000000000001</v>
      </c>
      <c r="K20" s="2">
        <v>1.02</v>
      </c>
      <c r="L20" s="2">
        <v>1.274</v>
      </c>
      <c r="M20" s="2">
        <v>0.85899999999999999</v>
      </c>
      <c r="N20" s="2">
        <v>1.754</v>
      </c>
      <c r="O20" s="2">
        <v>1.367</v>
      </c>
      <c r="P20" s="2">
        <v>1.522</v>
      </c>
      <c r="Q20" s="2">
        <v>1.234</v>
      </c>
      <c r="R20" s="2">
        <v>1.3089999999999999</v>
      </c>
      <c r="S20" s="2" t="s">
        <v>19</v>
      </c>
    </row>
    <row r="21" spans="1:19" x14ac:dyDescent="0.25">
      <c r="B21">
        <v>0</v>
      </c>
      <c r="C21">
        <v>0.1256108594630608</v>
      </c>
      <c r="D21">
        <v>0.50406839961617267</v>
      </c>
      <c r="E21">
        <v>0.49397793831107611</v>
      </c>
      <c r="F21">
        <v>0.38560380936019006</v>
      </c>
      <c r="G21">
        <v>0.90025478003260018</v>
      </c>
      <c r="H21">
        <v>0.29797999999999997</v>
      </c>
      <c r="I21">
        <v>0.22493823565152166</v>
      </c>
      <c r="J21">
        <v>0.44521812578305381</v>
      </c>
      <c r="K21">
        <v>0.35621207715096231</v>
      </c>
      <c r="L21">
        <v>1.2287174302008388</v>
      </c>
      <c r="M21">
        <v>1.0862280713516506</v>
      </c>
      <c r="N21">
        <v>1.2540043117716815</v>
      </c>
      <c r="O21">
        <v>0.34957213313275981</v>
      </c>
      <c r="P21">
        <v>0.51568037997226057</v>
      </c>
      <c r="Q21">
        <v>0.73867231582784765</v>
      </c>
      <c r="R21">
        <v>0.73384775968053506</v>
      </c>
      <c r="S21">
        <v>1.178216596340232</v>
      </c>
    </row>
    <row r="23" spans="1:19" x14ac:dyDescent="0.25">
      <c r="A23" t="s">
        <v>20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8</v>
      </c>
      <c r="J23" t="s">
        <v>9</v>
      </c>
      <c r="K23" t="s">
        <v>10</v>
      </c>
      <c r="L23" t="s">
        <v>11</v>
      </c>
      <c r="M23" t="s">
        <v>12</v>
      </c>
      <c r="N23" t="s">
        <v>13</v>
      </c>
      <c r="O23" t="s">
        <v>14</v>
      </c>
      <c r="P23" t="s">
        <v>15</v>
      </c>
      <c r="Q23" t="s">
        <v>16</v>
      </c>
      <c r="R23" t="s">
        <v>17</v>
      </c>
      <c r="S23" t="s">
        <v>18</v>
      </c>
    </row>
    <row r="24" spans="1:19" x14ac:dyDescent="0.25">
      <c r="A24" t="s">
        <v>1</v>
      </c>
      <c r="B24" t="s">
        <v>19</v>
      </c>
      <c r="C24">
        <v>1</v>
      </c>
      <c r="D24">
        <v>1</v>
      </c>
      <c r="E24">
        <v>1</v>
      </c>
      <c r="F24">
        <v>1</v>
      </c>
      <c r="G24">
        <v>0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1</v>
      </c>
      <c r="S24">
        <v>0</v>
      </c>
    </row>
    <row r="25" spans="1:19" x14ac:dyDescent="0.25">
      <c r="A25" t="s">
        <v>2</v>
      </c>
      <c r="B25">
        <v>1</v>
      </c>
      <c r="C25" t="s">
        <v>19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1</v>
      </c>
      <c r="R25">
        <v>1</v>
      </c>
      <c r="S25">
        <v>0</v>
      </c>
    </row>
    <row r="26" spans="1:19" x14ac:dyDescent="0.25">
      <c r="A26" t="s">
        <v>3</v>
      </c>
      <c r="B26">
        <v>1</v>
      </c>
      <c r="C26">
        <v>0</v>
      </c>
      <c r="D26" t="s">
        <v>19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1</v>
      </c>
      <c r="R26">
        <v>0</v>
      </c>
      <c r="S26">
        <v>1</v>
      </c>
    </row>
    <row r="27" spans="1:19" x14ac:dyDescent="0.25">
      <c r="A27" t="s">
        <v>4</v>
      </c>
      <c r="B27">
        <v>1</v>
      </c>
      <c r="C27">
        <v>1</v>
      </c>
      <c r="D27">
        <v>1</v>
      </c>
      <c r="E27" t="s">
        <v>19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1</v>
      </c>
      <c r="Q27">
        <v>1</v>
      </c>
      <c r="R27">
        <v>1</v>
      </c>
      <c r="S27">
        <v>1</v>
      </c>
    </row>
    <row r="28" spans="1:19" x14ac:dyDescent="0.25">
      <c r="A28" t="s">
        <v>5</v>
      </c>
      <c r="B28">
        <v>1</v>
      </c>
      <c r="C28">
        <v>0</v>
      </c>
      <c r="D28">
        <v>0</v>
      </c>
      <c r="E28">
        <v>1</v>
      </c>
      <c r="F28" t="s">
        <v>19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1</v>
      </c>
      <c r="R28">
        <v>1</v>
      </c>
      <c r="S28">
        <v>1</v>
      </c>
    </row>
    <row r="29" spans="1:19" x14ac:dyDescent="0.25">
      <c r="A29" t="s">
        <v>6</v>
      </c>
      <c r="B29">
        <v>0</v>
      </c>
      <c r="C29">
        <v>0</v>
      </c>
      <c r="D29">
        <v>1</v>
      </c>
      <c r="E29">
        <v>0</v>
      </c>
      <c r="F29">
        <v>0</v>
      </c>
      <c r="G29" t="s">
        <v>19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1</v>
      </c>
      <c r="R29">
        <v>1</v>
      </c>
      <c r="S29">
        <v>0</v>
      </c>
    </row>
    <row r="30" spans="1:19" x14ac:dyDescent="0.25">
      <c r="A30" t="s">
        <v>7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19</v>
      </c>
      <c r="I30">
        <v>1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8</v>
      </c>
      <c r="B31">
        <v>1</v>
      </c>
      <c r="C31">
        <v>0</v>
      </c>
      <c r="D31">
        <v>0</v>
      </c>
      <c r="E31">
        <v>0</v>
      </c>
      <c r="F31">
        <v>1</v>
      </c>
      <c r="G31">
        <v>0</v>
      </c>
      <c r="H31">
        <v>1</v>
      </c>
      <c r="I31" t="s">
        <v>19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1</v>
      </c>
      <c r="S31">
        <v>0</v>
      </c>
    </row>
    <row r="32" spans="1:19" x14ac:dyDescent="0.25">
      <c r="A32" t="s">
        <v>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0</v>
      </c>
      <c r="J32" t="s">
        <v>19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10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1</v>
      </c>
      <c r="K33" t="s">
        <v>19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11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s">
        <v>19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12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19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13</v>
      </c>
      <c r="B36">
        <v>1</v>
      </c>
      <c r="C36">
        <v>0</v>
      </c>
      <c r="D36">
        <v>1</v>
      </c>
      <c r="E36">
        <v>1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 t="s">
        <v>19</v>
      </c>
      <c r="O36">
        <v>0</v>
      </c>
      <c r="P36">
        <v>1</v>
      </c>
      <c r="Q36">
        <v>1</v>
      </c>
      <c r="R36">
        <v>1</v>
      </c>
      <c r="S36">
        <v>0</v>
      </c>
    </row>
    <row r="37" spans="1:19" x14ac:dyDescent="0.25">
      <c r="A37" t="s">
        <v>14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19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15</v>
      </c>
      <c r="B38">
        <v>0</v>
      </c>
      <c r="C38">
        <v>0</v>
      </c>
      <c r="D38">
        <v>0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>
        <v>0</v>
      </c>
      <c r="P38" t="s">
        <v>19</v>
      </c>
      <c r="Q38">
        <v>1</v>
      </c>
      <c r="R38">
        <v>1</v>
      </c>
      <c r="S38">
        <v>1</v>
      </c>
    </row>
    <row r="39" spans="1:19" x14ac:dyDescent="0.25">
      <c r="A39" t="s">
        <v>16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1</v>
      </c>
      <c r="O39">
        <v>0</v>
      </c>
      <c r="P39">
        <v>1</v>
      </c>
      <c r="Q39" t="s">
        <v>19</v>
      </c>
      <c r="R39">
        <v>1</v>
      </c>
      <c r="S39">
        <v>0</v>
      </c>
    </row>
    <row r="40" spans="1:19" x14ac:dyDescent="0.25">
      <c r="A40" t="s">
        <v>17</v>
      </c>
      <c r="B40">
        <v>1</v>
      </c>
      <c r="C40">
        <v>1</v>
      </c>
      <c r="D40">
        <v>0</v>
      </c>
      <c r="E40">
        <v>1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1</v>
      </c>
      <c r="O40">
        <v>0</v>
      </c>
      <c r="P40">
        <v>1</v>
      </c>
      <c r="Q40">
        <v>1</v>
      </c>
      <c r="R40" t="s">
        <v>19</v>
      </c>
      <c r="S40">
        <v>0</v>
      </c>
    </row>
    <row r="41" spans="1:19" x14ac:dyDescent="0.25">
      <c r="A41" t="s">
        <v>18</v>
      </c>
      <c r="B41">
        <v>0</v>
      </c>
      <c r="C41">
        <v>0</v>
      </c>
      <c r="D41">
        <v>1</v>
      </c>
      <c r="E41">
        <v>1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"/>
  <sheetViews>
    <sheetView workbookViewId="0">
      <selection activeCell="D4" activeCellId="1" sqref="D2 D4"/>
    </sheetView>
  </sheetViews>
  <sheetFormatPr defaultRowHeight="15" x14ac:dyDescent="0.25"/>
  <cols>
    <col min="1" max="1" width="16.140625" bestFit="1" customWidth="1"/>
    <col min="2" max="2" width="10.7109375" bestFit="1" customWidth="1"/>
    <col min="3" max="3" width="10" bestFit="1" customWidth="1"/>
    <col min="5" max="5" width="15" bestFit="1" customWidth="1"/>
  </cols>
  <sheetData>
    <row r="1" spans="1:9" x14ac:dyDescent="0.25">
      <c r="A1" t="s">
        <v>24</v>
      </c>
      <c r="B1" t="s">
        <v>22</v>
      </c>
      <c r="C1" t="s">
        <v>23</v>
      </c>
      <c r="D1" t="s">
        <v>25</v>
      </c>
    </row>
    <row r="2" spans="1:9" x14ac:dyDescent="0.25">
      <c r="A2" t="s">
        <v>1</v>
      </c>
      <c r="B2">
        <v>-96.345500000000001</v>
      </c>
      <c r="C2">
        <v>30.613350000000001</v>
      </c>
      <c r="D2">
        <v>119577</v>
      </c>
      <c r="E2">
        <f>D2/$G$4</f>
        <v>0.30874675314615618</v>
      </c>
      <c r="F2">
        <f>1-E2</f>
        <v>0.69125324685384382</v>
      </c>
      <c r="H2">
        <f>F2^2</f>
        <v>0.47783105128598113</v>
      </c>
      <c r="I2">
        <v>0.47783105128598113</v>
      </c>
    </row>
    <row r="3" spans="1:9" x14ac:dyDescent="0.25">
      <c r="A3" t="s">
        <v>2</v>
      </c>
      <c r="B3">
        <v>-96.343999999999994</v>
      </c>
      <c r="C3">
        <v>30.6144</v>
      </c>
      <c r="D3">
        <v>10230</v>
      </c>
      <c r="E3">
        <f t="shared" ref="E3:E18" si="0">D3/$G$4</f>
        <v>2.6413769242288884E-2</v>
      </c>
      <c r="F3">
        <f t="shared" ref="F3:F18" si="1">1-E3</f>
        <v>0.97358623075771111</v>
      </c>
      <c r="H3">
        <f t="shared" ref="H3:H18" si="2">F3^2</f>
        <v>0.94787014872100717</v>
      </c>
      <c r="I3">
        <v>0.94787014872100717</v>
      </c>
    </row>
    <row r="4" spans="1:9" x14ac:dyDescent="0.25">
      <c r="A4" t="s">
        <v>3</v>
      </c>
      <c r="B4">
        <v>-96.351799999999997</v>
      </c>
      <c r="C4">
        <v>30.610900000000001</v>
      </c>
      <c r="D4">
        <v>54467</v>
      </c>
      <c r="E4">
        <f t="shared" si="0"/>
        <v>0.14063331078394414</v>
      </c>
      <c r="F4">
        <f t="shared" si="1"/>
        <v>0.85936668921605586</v>
      </c>
      <c r="G4">
        <v>387298</v>
      </c>
      <c r="H4">
        <f t="shared" si="2"/>
        <v>0.73851110653416518</v>
      </c>
      <c r="I4">
        <v>0.73851110653416518</v>
      </c>
    </row>
    <row r="5" spans="1:9" x14ac:dyDescent="0.25">
      <c r="A5" t="s">
        <v>4</v>
      </c>
      <c r="B5">
        <v>-96.348600000000005</v>
      </c>
      <c r="C5">
        <v>30.607559999999999</v>
      </c>
      <c r="D5">
        <v>34944</v>
      </c>
      <c r="E5">
        <f t="shared" si="0"/>
        <v>9.0225097986563321E-2</v>
      </c>
      <c r="F5">
        <f t="shared" si="1"/>
        <v>0.90977490201343669</v>
      </c>
      <c r="H5">
        <f t="shared" si="2"/>
        <v>0.82769037233355836</v>
      </c>
      <c r="I5">
        <v>0.82769037233355836</v>
      </c>
    </row>
    <row r="6" spans="1:9" x14ac:dyDescent="0.25">
      <c r="A6" t="s">
        <v>5</v>
      </c>
      <c r="B6">
        <v>-96.349030999999997</v>
      </c>
      <c r="C6">
        <v>30.611499999999999</v>
      </c>
      <c r="D6">
        <v>16025</v>
      </c>
      <c r="E6">
        <f t="shared" si="0"/>
        <v>4.1376407830662695E-2</v>
      </c>
      <c r="F6">
        <f t="shared" si="1"/>
        <v>0.95862359216933735</v>
      </c>
      <c r="H6">
        <f t="shared" si="2"/>
        <v>0.91895919146364402</v>
      </c>
      <c r="I6">
        <v>0.91895919146364402</v>
      </c>
    </row>
    <row r="7" spans="1:9" x14ac:dyDescent="0.25">
      <c r="A7" t="s">
        <v>6</v>
      </c>
      <c r="B7">
        <v>-96.353999999999999</v>
      </c>
      <c r="C7">
        <v>30.609100000000002</v>
      </c>
      <c r="D7">
        <v>30635</v>
      </c>
      <c r="E7">
        <f t="shared" si="0"/>
        <v>7.9099298214811334E-2</v>
      </c>
      <c r="F7">
        <f t="shared" si="1"/>
        <v>0.92090070178518868</v>
      </c>
      <c r="H7">
        <f t="shared" si="2"/>
        <v>0.84805810254845304</v>
      </c>
      <c r="I7">
        <v>0.84805810254845304</v>
      </c>
    </row>
    <row r="8" spans="1:9" x14ac:dyDescent="0.25">
      <c r="A8" t="s">
        <v>8</v>
      </c>
      <c r="B8">
        <v>-96.346134000000006</v>
      </c>
      <c r="C8">
        <v>30.615601999999999</v>
      </c>
      <c r="D8">
        <v>20436</v>
      </c>
      <c r="E8">
        <f t="shared" si="0"/>
        <v>5.2765570697499084E-2</v>
      </c>
      <c r="F8">
        <f t="shared" si="1"/>
        <v>0.9472344293025009</v>
      </c>
      <c r="H8">
        <f t="shared" si="2"/>
        <v>0.89725306405603455</v>
      </c>
      <c r="I8">
        <v>0.89725306405603455</v>
      </c>
    </row>
    <row r="9" spans="1:9" x14ac:dyDescent="0.25">
      <c r="A9" t="s">
        <v>9</v>
      </c>
      <c r="B9">
        <v>-96.344499999999996</v>
      </c>
      <c r="C9">
        <v>30.619008999999998</v>
      </c>
      <c r="D9">
        <v>18331</v>
      </c>
      <c r="E9">
        <f t="shared" si="0"/>
        <v>4.7330479372472874E-2</v>
      </c>
      <c r="F9">
        <f t="shared" si="1"/>
        <v>0.95266952062752708</v>
      </c>
      <c r="H9">
        <f t="shared" si="2"/>
        <v>0.90757921553268228</v>
      </c>
      <c r="I9">
        <v>0.90757921553268228</v>
      </c>
    </row>
    <row r="10" spans="1:9" x14ac:dyDescent="0.25">
      <c r="A10" t="s">
        <v>10</v>
      </c>
      <c r="B10">
        <v>-96.345500000000001</v>
      </c>
      <c r="C10">
        <v>30.617763</v>
      </c>
      <c r="D10">
        <v>15289</v>
      </c>
      <c r="E10">
        <f t="shared" si="0"/>
        <v>3.9476062360249732E-2</v>
      </c>
      <c r="F10">
        <f t="shared" si="1"/>
        <v>0.9605239376397503</v>
      </c>
      <c r="H10">
        <f t="shared" si="2"/>
        <v>0.92260623477897097</v>
      </c>
      <c r="I10">
        <v>0.92260623477897097</v>
      </c>
    </row>
    <row r="11" spans="1:9" x14ac:dyDescent="0.25">
      <c r="A11" t="s">
        <v>11</v>
      </c>
      <c r="B11">
        <v>-96.343599999999995</v>
      </c>
      <c r="C11">
        <v>30.628499999999999</v>
      </c>
      <c r="D11">
        <v>14056</v>
      </c>
      <c r="E11">
        <f t="shared" si="0"/>
        <v>3.6292467299082358E-2</v>
      </c>
      <c r="F11">
        <f t="shared" si="1"/>
        <v>0.96370753270091769</v>
      </c>
      <c r="H11">
        <f t="shared" si="2"/>
        <v>0.92873220858449035</v>
      </c>
      <c r="I11">
        <v>0.92873220858449035</v>
      </c>
    </row>
    <row r="12" spans="1:9" x14ac:dyDescent="0.25">
      <c r="A12" t="s">
        <v>12</v>
      </c>
      <c r="B12">
        <v>-96.356177000000002</v>
      </c>
      <c r="C12">
        <v>30.610735999999999</v>
      </c>
      <c r="D12">
        <v>11899</v>
      </c>
      <c r="E12">
        <f t="shared" si="0"/>
        <v>3.0723112435385672E-2</v>
      </c>
      <c r="F12">
        <f t="shared" si="1"/>
        <v>0.96927688756461428</v>
      </c>
      <c r="H12">
        <f t="shared" si="2"/>
        <v>0.93949768476694595</v>
      </c>
      <c r="I12">
        <v>0.93949768476694595</v>
      </c>
    </row>
    <row r="13" spans="1:9" x14ac:dyDescent="0.25">
      <c r="A13" t="s">
        <v>13</v>
      </c>
      <c r="B13">
        <v>-96.352500000000006</v>
      </c>
      <c r="C13">
        <v>30.6</v>
      </c>
      <c r="D13">
        <v>10423</v>
      </c>
      <c r="E13">
        <f t="shared" si="0"/>
        <v>2.691209353004663E-2</v>
      </c>
      <c r="F13">
        <f t="shared" si="1"/>
        <v>0.97308790646995336</v>
      </c>
      <c r="H13">
        <f t="shared" si="2"/>
        <v>0.94690007371807672</v>
      </c>
      <c r="I13">
        <v>0.94690007371807672</v>
      </c>
    </row>
    <row r="14" spans="1:9" x14ac:dyDescent="0.25">
      <c r="A14" t="s">
        <v>14</v>
      </c>
      <c r="B14">
        <v>-96.341999999999999</v>
      </c>
      <c r="C14">
        <v>30.615279000000001</v>
      </c>
      <c r="D14">
        <v>8618</v>
      </c>
      <c r="E14">
        <f t="shared" si="0"/>
        <v>2.2251599543503968E-2</v>
      </c>
      <c r="F14">
        <f t="shared" si="1"/>
        <v>0.97774840045649603</v>
      </c>
      <c r="H14">
        <f t="shared" si="2"/>
        <v>0.95599193459523657</v>
      </c>
      <c r="I14">
        <v>0.95599193459523657</v>
      </c>
    </row>
    <row r="15" spans="1:9" x14ac:dyDescent="0.25">
      <c r="A15" t="s">
        <v>15</v>
      </c>
      <c r="B15">
        <v>-96.346134000000006</v>
      </c>
      <c r="C15">
        <v>30.605695000000001</v>
      </c>
      <c r="D15">
        <v>6680</v>
      </c>
      <c r="E15">
        <f t="shared" si="0"/>
        <v>1.7247700736900268E-2</v>
      </c>
      <c r="F15">
        <f t="shared" si="1"/>
        <v>0.9827522992630997</v>
      </c>
      <c r="H15">
        <f t="shared" si="2"/>
        <v>0.96580208170690907</v>
      </c>
      <c r="I15">
        <v>0.96580208170690907</v>
      </c>
    </row>
    <row r="16" spans="1:9" x14ac:dyDescent="0.25">
      <c r="A16" t="s">
        <v>16</v>
      </c>
      <c r="B16">
        <v>-96.350254000000007</v>
      </c>
      <c r="C16">
        <v>30.607559999999999</v>
      </c>
      <c r="D16">
        <v>5321</v>
      </c>
      <c r="E16">
        <f t="shared" si="0"/>
        <v>1.3738774793569809E-2</v>
      </c>
      <c r="F16">
        <f t="shared" si="1"/>
        <v>0.98626122520643023</v>
      </c>
      <c r="H16">
        <f t="shared" si="2"/>
        <v>0.97271120434568892</v>
      </c>
      <c r="I16">
        <v>0.97271120434568892</v>
      </c>
    </row>
    <row r="17" spans="1:9" x14ac:dyDescent="0.25">
      <c r="A17" t="s">
        <v>17</v>
      </c>
      <c r="B17">
        <v>-96.34975</v>
      </c>
      <c r="C17">
        <v>30.606000000000002</v>
      </c>
      <c r="D17">
        <v>5244</v>
      </c>
      <c r="E17">
        <f t="shared" si="0"/>
        <v>1.3539961476692366E-2</v>
      </c>
      <c r="F17">
        <f t="shared" si="1"/>
        <v>0.98646003852330766</v>
      </c>
      <c r="H17">
        <f t="shared" si="2"/>
        <v>0.97310340760340563</v>
      </c>
      <c r="I17">
        <v>0.97310340760340563</v>
      </c>
    </row>
    <row r="18" spans="1:9" x14ac:dyDescent="0.25">
      <c r="A18" t="s">
        <v>18</v>
      </c>
      <c r="B18">
        <v>-96.354699999999994</v>
      </c>
      <c r="C18">
        <v>30.622060999999999</v>
      </c>
      <c r="D18">
        <v>5123</v>
      </c>
      <c r="E18">
        <f t="shared" si="0"/>
        <v>1.3227540550170669E-2</v>
      </c>
      <c r="F18">
        <f t="shared" si="1"/>
        <v>0.98677245944982928</v>
      </c>
      <c r="H18">
        <f t="shared" si="2"/>
        <v>0.97371988672866494</v>
      </c>
      <c r="I18">
        <v>0.97371988672866494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workbookViewId="0">
      <selection activeCell="E12" sqref="E12"/>
    </sheetView>
  </sheetViews>
  <sheetFormatPr defaultRowHeight="15" x14ac:dyDescent="0.25"/>
  <sheetData>
    <row r="1" spans="1:9" x14ac:dyDescent="0.25">
      <c r="A1" t="s">
        <v>24</v>
      </c>
      <c r="B1" t="s">
        <v>22</v>
      </c>
      <c r="C1" t="s">
        <v>23</v>
      </c>
      <c r="D1" t="s">
        <v>25</v>
      </c>
      <c r="E1" t="s">
        <v>26</v>
      </c>
    </row>
    <row r="2" spans="1:9" x14ac:dyDescent="0.25">
      <c r="A2" t="s">
        <v>1</v>
      </c>
      <c r="B2">
        <v>-96.341037999999998</v>
      </c>
      <c r="C2">
        <v>30.612425999999999</v>
      </c>
      <c r="D2">
        <v>119577</v>
      </c>
      <c r="E2">
        <f>1-(D2/$H$9)</f>
        <v>0.74947098039380011</v>
      </c>
      <c r="F2">
        <f>1-G2</f>
        <v>0.2505290196062</v>
      </c>
      <c r="G2">
        <v>0.7494709803938</v>
      </c>
      <c r="I2">
        <v>0.25052901960619989</v>
      </c>
    </row>
    <row r="3" spans="1:9" x14ac:dyDescent="0.25">
      <c r="A3" t="s">
        <v>2</v>
      </c>
      <c r="B3">
        <v>-96.339139000000003</v>
      </c>
      <c r="C3">
        <v>30.613968</v>
      </c>
      <c r="D3">
        <v>100230</v>
      </c>
      <c r="E3">
        <f t="shared" ref="E3:E18" si="0">1-(D3/$H$9)</f>
        <v>0.79000540542805542</v>
      </c>
      <c r="F3">
        <f t="shared" ref="F3:F18" si="1">1-G3</f>
        <v>0.20999459457194458</v>
      </c>
      <c r="G3">
        <v>0.79000540542805542</v>
      </c>
      <c r="I3">
        <v>0.20999459457194458</v>
      </c>
    </row>
    <row r="4" spans="1:9" x14ac:dyDescent="0.25">
      <c r="A4" t="s">
        <v>3</v>
      </c>
      <c r="B4">
        <v>-96.35087</v>
      </c>
      <c r="C4">
        <v>30.610593000000001</v>
      </c>
      <c r="D4">
        <v>54467</v>
      </c>
      <c r="E4">
        <f t="shared" si="0"/>
        <v>0.88588470934301</v>
      </c>
      <c r="F4">
        <f t="shared" si="1"/>
        <v>0.11411529065699</v>
      </c>
      <c r="G4">
        <v>0.88588470934301</v>
      </c>
      <c r="I4">
        <v>0.11411529065699</v>
      </c>
    </row>
    <row r="5" spans="1:9" x14ac:dyDescent="0.25">
      <c r="A5" t="s">
        <v>4</v>
      </c>
      <c r="B5">
        <v>-96.346134000000006</v>
      </c>
      <c r="C5">
        <v>30.605695000000001</v>
      </c>
      <c r="D5">
        <v>34944</v>
      </c>
      <c r="E5">
        <f t="shared" si="0"/>
        <v>0.9267878767562403</v>
      </c>
      <c r="F5">
        <f t="shared" si="1"/>
        <v>7.3212123243759697E-2</v>
      </c>
      <c r="G5">
        <v>0.9267878767562403</v>
      </c>
      <c r="I5">
        <v>7.3212123243759697E-2</v>
      </c>
    </row>
    <row r="6" spans="1:9" x14ac:dyDescent="0.25">
      <c r="A6" t="s">
        <v>5</v>
      </c>
      <c r="B6">
        <v>-96.347572</v>
      </c>
      <c r="C6">
        <v>30.610818999999999</v>
      </c>
      <c r="D6">
        <v>16025</v>
      </c>
      <c r="E6">
        <f t="shared" si="0"/>
        <v>0.96642558736889739</v>
      </c>
      <c r="F6">
        <f t="shared" si="1"/>
        <v>3.3574412631102613E-2</v>
      </c>
      <c r="G6">
        <v>0.96642558736889739</v>
      </c>
      <c r="I6">
        <v>3.3574412631102613E-2</v>
      </c>
    </row>
    <row r="7" spans="1:9" x14ac:dyDescent="0.25">
      <c r="A7" t="s">
        <v>6</v>
      </c>
      <c r="B7">
        <v>-96.356177000000002</v>
      </c>
      <c r="C7">
        <v>30.607559999999999</v>
      </c>
      <c r="D7">
        <v>30635</v>
      </c>
      <c r="E7">
        <f t="shared" si="0"/>
        <v>0.93581577965966756</v>
      </c>
      <c r="F7">
        <f t="shared" si="1"/>
        <v>6.4184220340332443E-2</v>
      </c>
      <c r="G7">
        <v>0.93581577965966756</v>
      </c>
      <c r="I7">
        <v>6.4184220340332443E-2</v>
      </c>
    </row>
    <row r="8" spans="1:9" x14ac:dyDescent="0.25">
      <c r="A8" t="s">
        <v>8</v>
      </c>
      <c r="B8">
        <v>-96.342808000000005</v>
      </c>
      <c r="C8">
        <v>30.615601999999999</v>
      </c>
      <c r="D8">
        <v>20436</v>
      </c>
      <c r="E8">
        <f t="shared" si="0"/>
        <v>0.95718398149583694</v>
      </c>
      <c r="F8">
        <f t="shared" si="1"/>
        <v>4.2816018504163056E-2</v>
      </c>
      <c r="G8">
        <v>0.95718398149583694</v>
      </c>
      <c r="I8">
        <v>4.2816018504163056E-2</v>
      </c>
    </row>
    <row r="9" spans="1:9" x14ac:dyDescent="0.25">
      <c r="A9" t="s">
        <v>9</v>
      </c>
      <c r="B9">
        <v>-96.339365000000001</v>
      </c>
      <c r="C9">
        <v>30.619008999999998</v>
      </c>
      <c r="D9">
        <v>18331</v>
      </c>
      <c r="E9">
        <f t="shared" si="0"/>
        <v>0.96159422415346385</v>
      </c>
      <c r="F9">
        <f t="shared" si="1"/>
        <v>3.840577584653615E-2</v>
      </c>
      <c r="G9">
        <v>0.96159422415346385</v>
      </c>
      <c r="H9">
        <v>477298</v>
      </c>
      <c r="I9">
        <v>3.840577584653615E-2</v>
      </c>
    </row>
    <row r="10" spans="1:9" x14ac:dyDescent="0.25">
      <c r="A10" t="s">
        <v>10</v>
      </c>
      <c r="B10">
        <v>-96.341210000000004</v>
      </c>
      <c r="C10">
        <v>30.617763</v>
      </c>
      <c r="D10">
        <v>15289</v>
      </c>
      <c r="E10">
        <f t="shared" si="0"/>
        <v>0.96796760095370193</v>
      </c>
      <c r="F10">
        <f t="shared" si="1"/>
        <v>3.2032399046298066E-2</v>
      </c>
      <c r="G10">
        <v>0.96796760095370193</v>
      </c>
      <c r="I10">
        <v>3.2032399046298066E-2</v>
      </c>
    </row>
    <row r="11" spans="1:9" x14ac:dyDescent="0.25">
      <c r="A11" t="s">
        <v>11</v>
      </c>
      <c r="B11">
        <v>-96.338376999999994</v>
      </c>
      <c r="C11">
        <v>30.630410999999999</v>
      </c>
      <c r="D11">
        <v>14056</v>
      </c>
      <c r="E11">
        <f t="shared" si="0"/>
        <v>0.97055089273368</v>
      </c>
      <c r="F11">
        <f t="shared" si="1"/>
        <v>2.9449107266319996E-2</v>
      </c>
      <c r="G11">
        <v>0.97055089273368</v>
      </c>
      <c r="I11">
        <v>2.9449107266319996E-2</v>
      </c>
    </row>
    <row r="12" spans="1:9" x14ac:dyDescent="0.25">
      <c r="A12" t="s">
        <v>12</v>
      </c>
      <c r="B12">
        <v>-96.358558000000002</v>
      </c>
      <c r="C12">
        <v>30.610735999999999</v>
      </c>
      <c r="D12">
        <v>11899</v>
      </c>
      <c r="E12">
        <f t="shared" si="0"/>
        <v>0.97507008200327683</v>
      </c>
      <c r="F12">
        <f t="shared" si="1"/>
        <v>2.4929917996723172E-2</v>
      </c>
      <c r="G12">
        <v>0.97507008200327683</v>
      </c>
      <c r="I12">
        <v>2.4929917996723172E-2</v>
      </c>
    </row>
    <row r="13" spans="1:9" x14ac:dyDescent="0.25">
      <c r="A13" t="s">
        <v>13</v>
      </c>
      <c r="B13">
        <v>-96.353399999999993</v>
      </c>
      <c r="C13">
        <v>30.597494000000001</v>
      </c>
      <c r="D13">
        <v>10423</v>
      </c>
      <c r="E13">
        <f t="shared" si="0"/>
        <v>0.97816248968149877</v>
      </c>
      <c r="F13">
        <f t="shared" si="1"/>
        <v>2.183751031850123E-2</v>
      </c>
      <c r="G13">
        <v>0.97816248968149877</v>
      </c>
      <c r="I13">
        <v>2.183751031850123E-2</v>
      </c>
    </row>
    <row r="14" spans="1:9" x14ac:dyDescent="0.25">
      <c r="A14" t="s">
        <v>14</v>
      </c>
      <c r="B14">
        <v>-96.335931000000002</v>
      </c>
      <c r="C14">
        <v>30.615279000000001</v>
      </c>
      <c r="D14">
        <v>8618</v>
      </c>
      <c r="E14">
        <f t="shared" si="0"/>
        <v>0.9819441941931456</v>
      </c>
      <c r="F14">
        <f t="shared" si="1"/>
        <v>1.8055805806854397E-2</v>
      </c>
      <c r="G14">
        <v>0.9819441941931456</v>
      </c>
      <c r="I14">
        <v>1.8055805806854397E-2</v>
      </c>
    </row>
    <row r="15" spans="1:9" x14ac:dyDescent="0.25">
      <c r="A15" t="s">
        <v>15</v>
      </c>
      <c r="B15">
        <v>-96.346134000000006</v>
      </c>
      <c r="C15">
        <v>30.605695000000001</v>
      </c>
      <c r="D15">
        <v>6680</v>
      </c>
      <c r="E15">
        <f t="shared" si="0"/>
        <v>0.98600455061617687</v>
      </c>
      <c r="F15">
        <f t="shared" si="1"/>
        <v>1.3995449383823133E-2</v>
      </c>
      <c r="G15">
        <v>0.98600455061617687</v>
      </c>
      <c r="I15">
        <v>1.3995449383823133E-2</v>
      </c>
    </row>
    <row r="16" spans="1:9" x14ac:dyDescent="0.25">
      <c r="A16" t="s">
        <v>16</v>
      </c>
      <c r="B16">
        <v>-96.350254000000007</v>
      </c>
      <c r="C16">
        <v>30.605703999999999</v>
      </c>
      <c r="D16">
        <v>5321</v>
      </c>
      <c r="E16">
        <f t="shared" si="0"/>
        <v>0.98885182841746666</v>
      </c>
      <c r="F16">
        <f t="shared" si="1"/>
        <v>1.1148171582533339E-2</v>
      </c>
      <c r="G16">
        <v>0.98885182841746666</v>
      </c>
      <c r="I16">
        <v>1.1148171582533339E-2</v>
      </c>
    </row>
    <row r="17" spans="1:9" x14ac:dyDescent="0.25">
      <c r="A17" t="s">
        <v>17</v>
      </c>
      <c r="B17">
        <v>-96.349030999999997</v>
      </c>
      <c r="C17">
        <v>30.604465999999999</v>
      </c>
      <c r="D17">
        <v>5244</v>
      </c>
      <c r="E17">
        <f t="shared" si="0"/>
        <v>0.98901315320826821</v>
      </c>
      <c r="F17">
        <f t="shared" si="1"/>
        <v>1.0986846791731786E-2</v>
      </c>
      <c r="G17">
        <v>0.98901315320826821</v>
      </c>
      <c r="I17">
        <v>1.0986846791731786E-2</v>
      </c>
    </row>
    <row r="18" spans="1:9" x14ac:dyDescent="0.25">
      <c r="A18" t="s">
        <v>18</v>
      </c>
      <c r="B18">
        <v>-96.357449000000003</v>
      </c>
      <c r="C18">
        <v>30.622060999999999</v>
      </c>
      <c r="D18">
        <v>5123</v>
      </c>
      <c r="E18">
        <f t="shared" si="0"/>
        <v>0.98926666359381354</v>
      </c>
      <c r="F18">
        <f t="shared" si="1"/>
        <v>1.0733336406186456E-2</v>
      </c>
      <c r="G18">
        <v>0.98926666359381354</v>
      </c>
      <c r="I18">
        <v>1.0733336406186456E-2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2"/>
  <sheetViews>
    <sheetView tabSelected="1" zoomScale="70" zoomScaleNormal="70" workbookViewId="0">
      <selection activeCell="F17" sqref="F17"/>
    </sheetView>
  </sheetViews>
  <sheetFormatPr defaultRowHeight="15" x14ac:dyDescent="0.25"/>
  <cols>
    <col min="1" max="1" width="22" bestFit="1" customWidth="1"/>
    <col min="2" max="5" width="14.85546875" bestFit="1" customWidth="1"/>
    <col min="6" max="6" width="13.5703125" bestFit="1" customWidth="1"/>
    <col min="7" max="7" width="13.42578125" bestFit="1" customWidth="1"/>
    <col min="8" max="8" width="14.85546875" bestFit="1" customWidth="1"/>
    <col min="9" max="9" width="18.28515625" bestFit="1" customWidth="1"/>
    <col min="10" max="10" width="17.140625" bestFit="1" customWidth="1"/>
    <col min="11" max="11" width="16.7109375" bestFit="1" customWidth="1"/>
    <col min="12" max="12" width="14.85546875" bestFit="1" customWidth="1"/>
    <col min="13" max="13" width="13.5703125" bestFit="1" customWidth="1"/>
    <col min="14" max="17" width="14.85546875" bestFit="1" customWidth="1"/>
    <col min="18" max="18" width="13.42578125" bestFit="1" customWidth="1"/>
    <col min="19" max="19" width="10.7109375" bestFit="1" customWidth="1"/>
    <col min="21" max="21" width="9.140625" customWidth="1"/>
  </cols>
  <sheetData>
    <row r="1" spans="1:19" x14ac:dyDescent="0.25">
      <c r="A1" s="1" t="s">
        <v>27</v>
      </c>
      <c r="B1">
        <v>0.47783105128598113</v>
      </c>
      <c r="C1">
        <v>0.94787014872100717</v>
      </c>
      <c r="D1">
        <v>0.73851110653416518</v>
      </c>
      <c r="E1">
        <v>0.82769037233355836</v>
      </c>
      <c r="F1">
        <v>0.91895919146364402</v>
      </c>
      <c r="G1">
        <v>0.84805810254845304</v>
      </c>
      <c r="H1">
        <v>1</v>
      </c>
      <c r="I1">
        <v>0.89725306405603455</v>
      </c>
      <c r="J1">
        <v>0.90757921553268228</v>
      </c>
      <c r="K1">
        <v>0.92260623477897097</v>
      </c>
      <c r="L1">
        <v>0.92873220858449035</v>
      </c>
      <c r="M1">
        <v>0.93949768476694595</v>
      </c>
      <c r="N1">
        <v>0.94690007371807672</v>
      </c>
      <c r="O1">
        <v>0.95599193459523657</v>
      </c>
      <c r="P1">
        <v>0.96580208170690907</v>
      </c>
      <c r="Q1">
        <v>0.97271120434568892</v>
      </c>
      <c r="R1">
        <v>0.97310340760340563</v>
      </c>
      <c r="S1">
        <v>0.97371988672866494</v>
      </c>
    </row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</row>
    <row r="3" spans="1:19" s="2" customFormat="1" x14ac:dyDescent="0.25">
      <c r="A3" s="2" t="s">
        <v>1</v>
      </c>
      <c r="C3" s="2">
        <v>0.159</v>
      </c>
      <c r="D3" s="2">
        <v>0.56899999999999995</v>
      </c>
      <c r="E3" s="2">
        <v>0.53300000000000003</v>
      </c>
      <c r="F3" s="2">
        <v>0.39900000000000002</v>
      </c>
      <c r="G3" s="2">
        <v>0.96199999999999997</v>
      </c>
      <c r="H3" s="2">
        <v>0.317</v>
      </c>
      <c r="I3" s="2">
        <v>0.23499999999999999</v>
      </c>
      <c r="J3" s="2">
        <v>0.46300000000000002</v>
      </c>
      <c r="K3" s="2">
        <v>0.36799999999999999</v>
      </c>
      <c r="L3" s="2">
        <v>1.266</v>
      </c>
      <c r="M3" s="2">
        <v>1.1140000000000001</v>
      </c>
      <c r="N3" s="2">
        <v>1.282</v>
      </c>
      <c r="O3" s="2">
        <v>0.35599999999999998</v>
      </c>
      <c r="P3" s="2">
        <v>0.52300000000000002</v>
      </c>
      <c r="Q3" s="2">
        <v>0.747</v>
      </c>
      <c r="R3" s="2">
        <v>0.74199999999999999</v>
      </c>
      <c r="S3" s="2">
        <v>1.1910000000000001</v>
      </c>
    </row>
    <row r="4" spans="1:19" s="2" customFormat="1" x14ac:dyDescent="0.25">
      <c r="A4" s="2" t="s">
        <v>2</v>
      </c>
      <c r="B4" s="2">
        <v>0.159</v>
      </c>
      <c r="D4" s="2">
        <v>0.70199999999999996</v>
      </c>
      <c r="E4" s="2">
        <v>0.67300000000000004</v>
      </c>
      <c r="F4" s="2">
        <v>0.53</v>
      </c>
      <c r="G4" s="2">
        <v>1.103</v>
      </c>
      <c r="H4" s="2">
        <v>0.312</v>
      </c>
      <c r="I4" s="2">
        <v>0.253</v>
      </c>
      <c r="J4" s="2">
        <v>0.35399999999999998</v>
      </c>
      <c r="K4" s="2">
        <v>0.29199999999999998</v>
      </c>
      <c r="L4" s="2">
        <v>1.1339999999999999</v>
      </c>
      <c r="M4" s="2">
        <v>1.228</v>
      </c>
      <c r="N4" s="2">
        <v>1.4159999999999999</v>
      </c>
      <c r="O4" s="2">
        <v>0.214</v>
      </c>
      <c r="P4" s="2">
        <v>0.622</v>
      </c>
      <c r="Q4" s="2">
        <v>0.89</v>
      </c>
      <c r="R4" s="2">
        <v>0.88500000000000001</v>
      </c>
      <c r="S4" s="2">
        <v>1.234</v>
      </c>
    </row>
    <row r="5" spans="1:19" s="2" customFormat="1" x14ac:dyDescent="0.25">
      <c r="A5" s="2" t="s">
        <v>3</v>
      </c>
      <c r="B5" s="2">
        <v>0.56899999999999995</v>
      </c>
      <c r="C5" s="2">
        <v>0.70199999999999996</v>
      </c>
      <c r="E5" s="2">
        <v>0.43099999999999999</v>
      </c>
      <c r="F5" s="2">
        <v>0.20200000000000001</v>
      </c>
      <c r="G5" s="2">
        <v>0.39800000000000002</v>
      </c>
      <c r="H5" s="2">
        <v>0.58599999999999997</v>
      </c>
      <c r="I5" s="2">
        <v>0.56799999999999995</v>
      </c>
      <c r="J5" s="2">
        <v>0.876</v>
      </c>
      <c r="K5" s="2">
        <v>0.74</v>
      </c>
      <c r="L5" s="2">
        <v>1.5289999999999999</v>
      </c>
      <c r="M5" s="2">
        <v>0.53600000000000003</v>
      </c>
      <c r="N5" s="2">
        <v>0.94499999999999995</v>
      </c>
      <c r="O5" s="2">
        <v>0.92900000000000005</v>
      </c>
      <c r="P5" s="2">
        <v>0.67100000000000004</v>
      </c>
      <c r="Q5" s="2">
        <v>0.36599999999999999</v>
      </c>
      <c r="R5" s="2">
        <v>0.44600000000000001</v>
      </c>
      <c r="S5" s="2">
        <v>0.88800000000000001</v>
      </c>
    </row>
    <row r="6" spans="1:19" s="2" customFormat="1" x14ac:dyDescent="0.25">
      <c r="A6" s="2" t="s">
        <v>4</v>
      </c>
      <c r="B6" s="2">
        <v>0.53300000000000003</v>
      </c>
      <c r="C6" s="2">
        <v>0.67300000000000004</v>
      </c>
      <c r="D6" s="2">
        <v>0.43099999999999999</v>
      </c>
      <c r="F6" s="2">
        <v>0.33500000000000002</v>
      </c>
      <c r="G6" s="2">
        <v>0.6</v>
      </c>
      <c r="H6" s="2">
        <v>0.76800000000000002</v>
      </c>
      <c r="I6" s="2">
        <v>0.71199999999999997</v>
      </c>
      <c r="J6" s="2">
        <v>1.0029999999999999</v>
      </c>
      <c r="K6" s="2">
        <v>0.88</v>
      </c>
      <c r="L6" s="2">
        <v>1.762</v>
      </c>
      <c r="M6" s="2">
        <v>0.80800000000000005</v>
      </c>
      <c r="N6" s="2">
        <v>0.69899999999999995</v>
      </c>
      <c r="O6" s="2">
        <v>0.89800000000000002</v>
      </c>
      <c r="P6" s="2">
        <v>0.29099999999999998</v>
      </c>
      <c r="Q6" s="2">
        <v>0.26500000000000001</v>
      </c>
      <c r="R6" s="2">
        <v>0.17699999999999999</v>
      </c>
      <c r="S6" s="2">
        <v>1.319</v>
      </c>
    </row>
    <row r="7" spans="1:19" s="2" customFormat="1" x14ac:dyDescent="0.25">
      <c r="A7" s="2" t="s">
        <v>5</v>
      </c>
      <c r="B7" s="2">
        <v>0.39900000000000002</v>
      </c>
      <c r="C7" s="2">
        <v>0.53</v>
      </c>
      <c r="D7" s="2">
        <v>0.20200000000000001</v>
      </c>
      <c r="E7" s="2">
        <v>0.33500000000000002</v>
      </c>
      <c r="G7" s="2">
        <v>0.56999999999999995</v>
      </c>
      <c r="H7" s="2">
        <v>0.46300000000000002</v>
      </c>
      <c r="I7" s="2">
        <v>0.442</v>
      </c>
      <c r="J7" s="2">
        <v>0.74099999999999999</v>
      </c>
      <c r="K7" s="2">
        <v>0.60899999999999999</v>
      </c>
      <c r="L7" s="2">
        <v>1.458</v>
      </c>
      <c r="M7" s="2">
        <v>0.65800000000000003</v>
      </c>
      <c r="N7" s="2">
        <v>0.98499999999999999</v>
      </c>
      <c r="O7" s="2">
        <v>0.748</v>
      </c>
      <c r="P7" s="2">
        <v>0.52600000000000002</v>
      </c>
      <c r="Q7" s="2">
        <v>0.41199999999999998</v>
      </c>
      <c r="R7" s="2">
        <v>0.44500000000000001</v>
      </c>
      <c r="S7" s="2">
        <v>1.0049999999999999</v>
      </c>
    </row>
    <row r="8" spans="1:19" s="2" customFormat="1" x14ac:dyDescent="0.25">
      <c r="A8" s="2" t="s">
        <v>6</v>
      </c>
      <c r="B8" s="2">
        <v>0.96199999999999997</v>
      </c>
      <c r="C8" s="2">
        <v>1.103</v>
      </c>
      <c r="D8" s="2">
        <v>0.39800000000000002</v>
      </c>
      <c r="E8" s="2">
        <v>0.6</v>
      </c>
      <c r="F8" s="2">
        <v>0.56999999999999995</v>
      </c>
      <c r="H8" s="2">
        <v>0.98399999999999999</v>
      </c>
      <c r="I8" s="2">
        <v>0.97299999999999998</v>
      </c>
      <c r="J8" s="2">
        <v>1.2789999999999999</v>
      </c>
      <c r="K8" s="2">
        <v>1.139</v>
      </c>
      <c r="L8" s="2">
        <v>1.91</v>
      </c>
      <c r="M8" s="2">
        <v>0.20200000000000001</v>
      </c>
      <c r="N8" s="2">
        <v>0.747</v>
      </c>
      <c r="O8" s="2">
        <v>1.3160000000000001</v>
      </c>
      <c r="P8" s="2">
        <v>0.89600000000000002</v>
      </c>
      <c r="Q8" s="2">
        <v>0.36199999999999999</v>
      </c>
      <c r="R8" s="2">
        <v>0.46400000000000002</v>
      </c>
      <c r="S8" s="2">
        <v>1.018</v>
      </c>
    </row>
    <row r="9" spans="1:19" s="2" customFormat="1" x14ac:dyDescent="0.25">
      <c r="A9" s="2" t="s">
        <v>7</v>
      </c>
      <c r="B9" s="2">
        <v>0.317</v>
      </c>
      <c r="C9" s="2">
        <v>0.312</v>
      </c>
      <c r="D9" s="2">
        <v>0.58599999999999997</v>
      </c>
      <c r="E9" s="2">
        <v>0.76800000000000002</v>
      </c>
      <c r="F9" s="2">
        <v>0.46300000000000002</v>
      </c>
      <c r="G9" s="2">
        <v>0.98399999999999999</v>
      </c>
      <c r="I9" s="2">
        <v>7.0999999999999994E-2</v>
      </c>
      <c r="J9" s="2">
        <v>0.29899999999999999</v>
      </c>
      <c r="K9" s="2">
        <v>0.159</v>
      </c>
      <c r="L9" s="2">
        <v>0.998</v>
      </c>
      <c r="M9" s="2">
        <v>1.0129999999999999</v>
      </c>
      <c r="N9" s="2">
        <v>1.4410000000000001</v>
      </c>
      <c r="O9" s="2">
        <v>0.45</v>
      </c>
      <c r="P9" s="2">
        <v>0.79900000000000004</v>
      </c>
      <c r="Q9" s="2">
        <v>0.873</v>
      </c>
      <c r="R9" s="2">
        <v>0.90300000000000002</v>
      </c>
      <c r="S9" s="2">
        <v>0.92900000000000005</v>
      </c>
    </row>
    <row r="10" spans="1:19" s="2" customFormat="1" x14ac:dyDescent="0.25">
      <c r="A10" s="2" t="s">
        <v>8</v>
      </c>
      <c r="B10" s="2">
        <v>0.23499999999999999</v>
      </c>
      <c r="C10" s="2">
        <v>0.253</v>
      </c>
      <c r="D10" s="2">
        <v>0.56799999999999995</v>
      </c>
      <c r="E10" s="2">
        <v>0.71199999999999997</v>
      </c>
      <c r="F10" s="2">
        <v>0.442</v>
      </c>
      <c r="G10" s="2">
        <v>0.97299999999999998</v>
      </c>
      <c r="H10" s="2">
        <v>7.0999999999999994E-2</v>
      </c>
      <c r="J10" s="2">
        <v>0.314</v>
      </c>
      <c r="K10" s="2">
        <v>0.17699999999999999</v>
      </c>
      <c r="L10" s="2">
        <v>1.05</v>
      </c>
      <c r="M10" s="2">
        <v>1.004</v>
      </c>
      <c r="N10" s="2">
        <v>1.397</v>
      </c>
      <c r="O10" s="2">
        <v>0.41</v>
      </c>
      <c r="P10" s="2">
        <v>0.73199999999999998</v>
      </c>
      <c r="Q10" s="2">
        <v>0.85399999999999998</v>
      </c>
      <c r="R10" s="2">
        <v>0.86199999999999999</v>
      </c>
      <c r="S10" s="2">
        <v>0.98499999999999999</v>
      </c>
    </row>
    <row r="11" spans="1:19" s="2" customFormat="1" x14ac:dyDescent="0.25">
      <c r="A11" s="2" t="s">
        <v>9</v>
      </c>
      <c r="B11" s="2">
        <v>0.46300000000000002</v>
      </c>
      <c r="C11" s="2">
        <v>0.35399999999999998</v>
      </c>
      <c r="D11" s="2">
        <v>0.876</v>
      </c>
      <c r="E11" s="2">
        <v>1.0029999999999999</v>
      </c>
      <c r="F11" s="2">
        <v>0.74099999999999999</v>
      </c>
      <c r="G11" s="2">
        <v>1.2789999999999999</v>
      </c>
      <c r="H11" s="2">
        <v>0.29899999999999999</v>
      </c>
      <c r="I11" s="2">
        <v>0.314</v>
      </c>
      <c r="K11" s="2">
        <v>0.14000000000000001</v>
      </c>
      <c r="L11" s="2">
        <v>0.78600000000000003</v>
      </c>
      <c r="M11" s="2">
        <v>1.296</v>
      </c>
      <c r="N11" s="2">
        <v>1.6990000000000001</v>
      </c>
      <c r="O11" s="2">
        <v>0.33600000000000002</v>
      </c>
      <c r="P11" s="2">
        <v>0.97</v>
      </c>
      <c r="Q11" s="2">
        <v>1.1519999999999999</v>
      </c>
      <c r="R11" s="2">
        <v>1.1719999999999999</v>
      </c>
      <c r="S11" s="2">
        <v>1.1000000000000001</v>
      </c>
    </row>
    <row r="12" spans="1:19" s="2" customFormat="1" x14ac:dyDescent="0.25">
      <c r="A12" s="2" t="s">
        <v>10</v>
      </c>
      <c r="B12" s="2">
        <v>0.36799999999999999</v>
      </c>
      <c r="C12" s="2">
        <v>0.29199999999999998</v>
      </c>
      <c r="D12" s="2">
        <v>0.74</v>
      </c>
      <c r="E12" s="2">
        <v>0.88</v>
      </c>
      <c r="F12" s="2">
        <v>0.60899999999999999</v>
      </c>
      <c r="G12" s="2">
        <v>1.139</v>
      </c>
      <c r="H12" s="2">
        <v>0.159</v>
      </c>
      <c r="I12" s="2">
        <v>0.17699999999999999</v>
      </c>
      <c r="J12" s="2">
        <v>0.14000000000000001</v>
      </c>
      <c r="L12" s="2">
        <v>0.88800000000000001</v>
      </c>
      <c r="M12" s="2">
        <v>1.151</v>
      </c>
      <c r="N12" s="2">
        <v>1.5720000000000001</v>
      </c>
      <c r="O12" s="2">
        <v>0.36099999999999999</v>
      </c>
      <c r="P12" s="2">
        <v>0.875</v>
      </c>
      <c r="Q12" s="2">
        <v>1.016</v>
      </c>
      <c r="R12" s="2">
        <v>1.0289999999999999</v>
      </c>
      <c r="S12" s="2">
        <v>1.02</v>
      </c>
    </row>
    <row r="13" spans="1:19" s="2" customFormat="1" x14ac:dyDescent="0.25">
      <c r="A13" s="2" t="s">
        <v>11</v>
      </c>
      <c r="B13" s="2">
        <v>1.266</v>
      </c>
      <c r="C13" s="2">
        <v>1.1339999999999999</v>
      </c>
      <c r="D13" s="2">
        <v>1.5289999999999999</v>
      </c>
      <c r="E13" s="2">
        <v>1.762</v>
      </c>
      <c r="F13" s="2">
        <v>1.458</v>
      </c>
      <c r="G13" s="2">
        <v>1.91</v>
      </c>
      <c r="H13" s="2">
        <v>0.998</v>
      </c>
      <c r="I13" s="2">
        <v>1.05</v>
      </c>
      <c r="J13" s="2">
        <v>0.78600000000000003</v>
      </c>
      <c r="K13" s="2">
        <v>0.88800000000000001</v>
      </c>
      <c r="M13" s="2">
        <v>1.851</v>
      </c>
      <c r="N13" s="2">
        <v>2.4390000000000001</v>
      </c>
      <c r="O13" s="2">
        <v>1.048</v>
      </c>
      <c r="P13" s="2">
        <v>1.752</v>
      </c>
      <c r="Q13" s="2">
        <v>1.869</v>
      </c>
      <c r="R13" s="2">
        <v>1.9</v>
      </c>
      <c r="S13" s="2">
        <v>1.274</v>
      </c>
    </row>
    <row r="14" spans="1:19" s="2" customFormat="1" x14ac:dyDescent="0.25">
      <c r="A14" s="2" t="s">
        <v>12</v>
      </c>
      <c r="B14" s="2">
        <v>1.1140000000000001</v>
      </c>
      <c r="C14" s="2">
        <v>1.228</v>
      </c>
      <c r="D14" s="2">
        <v>0.53600000000000003</v>
      </c>
      <c r="E14" s="2">
        <v>0.80800000000000005</v>
      </c>
      <c r="F14" s="2">
        <v>0.65800000000000003</v>
      </c>
      <c r="G14" s="2">
        <v>0.20200000000000001</v>
      </c>
      <c r="H14" s="2">
        <v>1.0129999999999999</v>
      </c>
      <c r="I14" s="2">
        <v>1.004</v>
      </c>
      <c r="J14" s="2">
        <v>1.296</v>
      </c>
      <c r="K14" s="2">
        <v>1.151</v>
      </c>
      <c r="L14" s="2">
        <v>1.851</v>
      </c>
      <c r="N14" s="2">
        <v>0.94099999999999995</v>
      </c>
      <c r="O14" s="2">
        <v>1.3859999999999999</v>
      </c>
      <c r="P14" s="2">
        <v>1.0589999999999999</v>
      </c>
      <c r="Q14" s="2">
        <v>0.55300000000000005</v>
      </c>
      <c r="R14" s="2">
        <v>0.64800000000000002</v>
      </c>
      <c r="S14" s="2">
        <v>0.85899999999999999</v>
      </c>
    </row>
    <row r="15" spans="1:19" s="2" customFormat="1" x14ac:dyDescent="0.25">
      <c r="A15" s="2" t="s">
        <v>13</v>
      </c>
      <c r="B15" s="2">
        <v>1.282</v>
      </c>
      <c r="C15" s="2">
        <v>1.4159999999999999</v>
      </c>
      <c r="D15" s="2">
        <v>0.94499999999999995</v>
      </c>
      <c r="E15" s="2">
        <v>0.69899999999999995</v>
      </c>
      <c r="F15" s="2">
        <v>0.98499999999999999</v>
      </c>
      <c r="G15" s="2">
        <v>0.747</v>
      </c>
      <c r="H15" s="2">
        <v>1.4410000000000001</v>
      </c>
      <c r="I15" s="2">
        <v>1.397</v>
      </c>
      <c r="J15" s="2">
        <v>1.6990000000000001</v>
      </c>
      <c r="K15" s="2">
        <v>1.5720000000000001</v>
      </c>
      <c r="L15" s="2">
        <v>2.4390000000000001</v>
      </c>
      <c r="M15" s="2">
        <v>0.94099999999999995</v>
      </c>
      <c r="O15" s="2">
        <v>1.591</v>
      </c>
      <c r="P15" s="2">
        <v>0.85599999999999998</v>
      </c>
      <c r="Q15" s="2">
        <v>0.58399999999999996</v>
      </c>
      <c r="R15" s="2">
        <v>0.55000000000000004</v>
      </c>
      <c r="S15" s="2">
        <v>1.754</v>
      </c>
    </row>
    <row r="16" spans="1:19" s="2" customFormat="1" x14ac:dyDescent="0.25">
      <c r="A16" s="2" t="s">
        <v>14</v>
      </c>
      <c r="B16" s="2">
        <v>0.35599999999999998</v>
      </c>
      <c r="C16" s="2">
        <v>0.214</v>
      </c>
      <c r="D16" s="2">
        <v>0.92900000000000005</v>
      </c>
      <c r="E16" s="2">
        <v>0.89800000000000002</v>
      </c>
      <c r="F16" s="2">
        <v>0.748</v>
      </c>
      <c r="G16" s="2">
        <v>1.3160000000000001</v>
      </c>
      <c r="H16" s="2">
        <v>0.45</v>
      </c>
      <c r="I16" s="2">
        <v>0.41</v>
      </c>
      <c r="J16" s="2">
        <v>0.33600000000000002</v>
      </c>
      <c r="K16" s="2">
        <v>0.36099999999999999</v>
      </c>
      <c r="L16" s="2">
        <v>1.048</v>
      </c>
      <c r="M16" s="2">
        <v>1.3859999999999999</v>
      </c>
      <c r="N16" s="2">
        <v>1.591</v>
      </c>
      <c r="P16" s="2">
        <v>0.77200000000000002</v>
      </c>
      <c r="Q16" s="2">
        <v>1.099</v>
      </c>
      <c r="R16" s="2">
        <v>1.0960000000000001</v>
      </c>
      <c r="S16" s="2">
        <v>1.367</v>
      </c>
    </row>
    <row r="17" spans="1:19" s="2" customFormat="1" x14ac:dyDescent="0.25">
      <c r="A17" s="2" t="s">
        <v>15</v>
      </c>
      <c r="B17" s="2">
        <v>0.52300000000000002</v>
      </c>
      <c r="C17" s="2">
        <v>0.622</v>
      </c>
      <c r="D17" s="2">
        <v>0.67100000000000004</v>
      </c>
      <c r="E17" s="2">
        <v>0.29099999999999998</v>
      </c>
      <c r="F17" s="2">
        <v>0.52600000000000002</v>
      </c>
      <c r="G17" s="2">
        <v>0.89600000000000002</v>
      </c>
      <c r="H17" s="2">
        <v>0.79900000000000004</v>
      </c>
      <c r="I17" s="2">
        <v>0.73199999999999998</v>
      </c>
      <c r="J17" s="2">
        <v>0.97</v>
      </c>
      <c r="K17" s="2">
        <v>0.875</v>
      </c>
      <c r="L17" s="2">
        <v>1.752</v>
      </c>
      <c r="M17" s="2">
        <v>1.0589999999999999</v>
      </c>
      <c r="N17" s="2">
        <v>0.85599999999999998</v>
      </c>
      <c r="O17" s="2">
        <v>0.77200000000000002</v>
      </c>
      <c r="Q17" s="2">
        <v>0.49199999999999999</v>
      </c>
      <c r="R17" s="2">
        <v>0.45200000000000001</v>
      </c>
      <c r="S17" s="2">
        <v>1.522</v>
      </c>
    </row>
    <row r="18" spans="1:19" s="2" customFormat="1" x14ac:dyDescent="0.25">
      <c r="A18" s="2" t="s">
        <v>16</v>
      </c>
      <c r="B18" s="2">
        <v>0.747</v>
      </c>
      <c r="C18" s="2">
        <v>0.89</v>
      </c>
      <c r="D18" s="2">
        <v>0.36599999999999999</v>
      </c>
      <c r="E18" s="2">
        <v>0.26500000000000001</v>
      </c>
      <c r="F18" s="2">
        <v>0.41199999999999998</v>
      </c>
      <c r="G18" s="2">
        <v>0.36199999999999999</v>
      </c>
      <c r="H18" s="2">
        <v>0.873</v>
      </c>
      <c r="I18" s="2">
        <v>0.85399999999999998</v>
      </c>
      <c r="J18" s="2">
        <v>1.1519999999999999</v>
      </c>
      <c r="K18" s="2">
        <v>1.016</v>
      </c>
      <c r="L18" s="2">
        <v>1.869</v>
      </c>
      <c r="M18" s="2">
        <v>0.55300000000000005</v>
      </c>
      <c r="N18" s="2">
        <v>0.58399999999999996</v>
      </c>
      <c r="O18" s="2">
        <v>1.099</v>
      </c>
      <c r="P18" s="2">
        <v>0.49199999999999999</v>
      </c>
      <c r="R18" s="2">
        <v>8.8999999999999996E-2</v>
      </c>
      <c r="S18" s="2">
        <v>1.234</v>
      </c>
    </row>
    <row r="19" spans="1:19" s="2" customFormat="1" x14ac:dyDescent="0.25">
      <c r="A19" s="2" t="s">
        <v>17</v>
      </c>
      <c r="B19" s="2">
        <v>0.74199999999999999</v>
      </c>
      <c r="C19" s="2">
        <v>0.88500000000000001</v>
      </c>
      <c r="D19" s="2">
        <v>0.44600000000000001</v>
      </c>
      <c r="E19" s="2">
        <v>0.17699999999999999</v>
      </c>
      <c r="F19" s="2">
        <v>0.44500000000000001</v>
      </c>
      <c r="G19" s="2">
        <v>0.46400000000000002</v>
      </c>
      <c r="H19" s="2">
        <v>0.90300000000000002</v>
      </c>
      <c r="I19" s="2">
        <v>0.86199999999999999</v>
      </c>
      <c r="J19" s="2">
        <v>1.1719999999999999</v>
      </c>
      <c r="K19" s="2">
        <v>1.0289999999999999</v>
      </c>
      <c r="L19" s="2">
        <v>1.9</v>
      </c>
      <c r="M19" s="2">
        <v>0.64800000000000002</v>
      </c>
      <c r="N19" s="2">
        <v>0.55000000000000004</v>
      </c>
      <c r="O19" s="2">
        <v>1.0960000000000001</v>
      </c>
      <c r="P19" s="2">
        <v>0.45200000000000001</v>
      </c>
      <c r="Q19" s="2">
        <v>8.8999999999999996E-2</v>
      </c>
      <c r="S19" s="2">
        <v>1.3089999999999999</v>
      </c>
    </row>
    <row r="20" spans="1:19" s="2" customFormat="1" x14ac:dyDescent="0.25">
      <c r="A20" s="2" t="s">
        <v>18</v>
      </c>
      <c r="B20" s="2">
        <v>1.1910000000000001</v>
      </c>
      <c r="C20" s="2">
        <v>1.234</v>
      </c>
      <c r="D20" s="2">
        <v>0.88800000000000001</v>
      </c>
      <c r="E20" s="2">
        <v>1.319</v>
      </c>
      <c r="F20" s="2">
        <v>1.0049999999999999</v>
      </c>
      <c r="G20" s="2">
        <v>1.018</v>
      </c>
      <c r="H20" s="2">
        <v>0.92900000000000005</v>
      </c>
      <c r="I20" s="2">
        <v>0.98499999999999999</v>
      </c>
      <c r="J20" s="2">
        <v>1.1000000000000001</v>
      </c>
      <c r="K20" s="2">
        <v>1.02</v>
      </c>
      <c r="L20" s="2">
        <v>1.274</v>
      </c>
      <c r="M20" s="2">
        <v>0.85899999999999999</v>
      </c>
      <c r="N20" s="2">
        <v>1.754</v>
      </c>
      <c r="O20" s="2">
        <v>1.367</v>
      </c>
      <c r="P20" s="2">
        <v>1.522</v>
      </c>
      <c r="Q20" s="2">
        <v>1.234</v>
      </c>
      <c r="R20" s="2">
        <v>1.3089999999999999</v>
      </c>
    </row>
    <row r="21" spans="1:19" x14ac:dyDescent="0.25">
      <c r="B21">
        <f>B1*B15</f>
        <v>0.61257940774862785</v>
      </c>
      <c r="C21">
        <f t="shared" ref="C21:S21" si="0">C1*C15</f>
        <v>1.3421841305889461</v>
      </c>
      <c r="D21">
        <f t="shared" si="0"/>
        <v>0.69789299567478602</v>
      </c>
      <c r="E21">
        <f t="shared" si="0"/>
        <v>0.57855557026115723</v>
      </c>
      <c r="F21">
        <f t="shared" si="0"/>
        <v>0.90517480359168934</v>
      </c>
      <c r="G21">
        <f t="shared" si="0"/>
        <v>0.63349940260369442</v>
      </c>
      <c r="H21">
        <f t="shared" si="0"/>
        <v>1.4410000000000001</v>
      </c>
      <c r="I21">
        <f t="shared" si="0"/>
        <v>1.2534625304862803</v>
      </c>
      <c r="J21">
        <f t="shared" si="0"/>
        <v>1.5419770871900274</v>
      </c>
      <c r="K21">
        <f t="shared" si="0"/>
        <v>1.4503370010725425</v>
      </c>
      <c r="L21">
        <f t="shared" si="0"/>
        <v>2.265177856737572</v>
      </c>
      <c r="M21">
        <f t="shared" si="0"/>
        <v>0.8840673213656961</v>
      </c>
      <c r="N21">
        <f t="shared" si="0"/>
        <v>0</v>
      </c>
      <c r="O21">
        <f t="shared" si="0"/>
        <v>1.5209831679410213</v>
      </c>
      <c r="P21">
        <f t="shared" si="0"/>
        <v>0.82672658194111415</v>
      </c>
      <c r="Q21">
        <f t="shared" si="0"/>
        <v>0.56806334333788233</v>
      </c>
      <c r="R21">
        <f t="shared" si="0"/>
        <v>0.53520687418187318</v>
      </c>
      <c r="S21">
        <f t="shared" si="0"/>
        <v>1.7079046813220784</v>
      </c>
    </row>
    <row r="23" spans="1:19" x14ac:dyDescent="0.25">
      <c r="A23" t="s">
        <v>20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8</v>
      </c>
      <c r="J23" t="s">
        <v>9</v>
      </c>
      <c r="K23" t="s">
        <v>10</v>
      </c>
      <c r="L23" t="s">
        <v>11</v>
      </c>
      <c r="M23" t="s">
        <v>12</v>
      </c>
      <c r="N23" t="s">
        <v>13</v>
      </c>
      <c r="O23" t="s">
        <v>14</v>
      </c>
      <c r="P23" t="s">
        <v>15</v>
      </c>
      <c r="Q23" t="s">
        <v>16</v>
      </c>
      <c r="R23" t="s">
        <v>17</v>
      </c>
      <c r="S23" t="s">
        <v>18</v>
      </c>
    </row>
    <row r="24" spans="1:19" x14ac:dyDescent="0.25">
      <c r="A24" t="s">
        <v>1</v>
      </c>
      <c r="B24" t="s">
        <v>19</v>
      </c>
      <c r="C24">
        <v>1</v>
      </c>
      <c r="D24">
        <v>1</v>
      </c>
      <c r="E24">
        <v>1</v>
      </c>
      <c r="F24">
        <v>1</v>
      </c>
      <c r="G24">
        <v>0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1</v>
      </c>
      <c r="S24">
        <v>0</v>
      </c>
    </row>
    <row r="25" spans="1:19" x14ac:dyDescent="0.25">
      <c r="A25" t="s">
        <v>2</v>
      </c>
      <c r="B25">
        <v>1</v>
      </c>
      <c r="C25" t="s">
        <v>19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1</v>
      </c>
      <c r="R25">
        <v>1</v>
      </c>
      <c r="S25">
        <v>0</v>
      </c>
    </row>
    <row r="26" spans="1:19" x14ac:dyDescent="0.25">
      <c r="A26" t="s">
        <v>3</v>
      </c>
      <c r="B26">
        <v>1</v>
      </c>
      <c r="C26">
        <v>0</v>
      </c>
      <c r="D26" t="s">
        <v>19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1</v>
      </c>
      <c r="R26">
        <v>0</v>
      </c>
      <c r="S26">
        <v>1</v>
      </c>
    </row>
    <row r="27" spans="1:19" x14ac:dyDescent="0.25">
      <c r="A27" t="s">
        <v>4</v>
      </c>
      <c r="B27">
        <v>1</v>
      </c>
      <c r="C27">
        <v>1</v>
      </c>
      <c r="D27">
        <v>1</v>
      </c>
      <c r="E27" t="s">
        <v>19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1</v>
      </c>
      <c r="Q27">
        <v>1</v>
      </c>
      <c r="R27">
        <v>1</v>
      </c>
      <c r="S27">
        <v>1</v>
      </c>
    </row>
    <row r="28" spans="1:19" x14ac:dyDescent="0.25">
      <c r="A28" t="s">
        <v>5</v>
      </c>
      <c r="B28">
        <v>1</v>
      </c>
      <c r="C28">
        <v>0</v>
      </c>
      <c r="D28">
        <v>0</v>
      </c>
      <c r="E28">
        <v>1</v>
      </c>
      <c r="F28" t="s">
        <v>19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1</v>
      </c>
      <c r="R28">
        <v>1</v>
      </c>
      <c r="S28">
        <v>1</v>
      </c>
    </row>
    <row r="29" spans="1:19" x14ac:dyDescent="0.25">
      <c r="A29" t="s">
        <v>6</v>
      </c>
      <c r="B29">
        <v>0</v>
      </c>
      <c r="C29">
        <v>0</v>
      </c>
      <c r="D29">
        <v>1</v>
      </c>
      <c r="E29">
        <v>0</v>
      </c>
      <c r="F29">
        <v>0</v>
      </c>
      <c r="G29" t="s">
        <v>19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1</v>
      </c>
      <c r="R29">
        <v>1</v>
      </c>
      <c r="S29">
        <v>0</v>
      </c>
    </row>
    <row r="30" spans="1:19" x14ac:dyDescent="0.25">
      <c r="A30" t="s">
        <v>7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19</v>
      </c>
      <c r="I30">
        <v>1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8</v>
      </c>
      <c r="B31">
        <v>1</v>
      </c>
      <c r="C31">
        <v>0</v>
      </c>
      <c r="D31">
        <v>0</v>
      </c>
      <c r="E31">
        <v>0</v>
      </c>
      <c r="F31">
        <v>1</v>
      </c>
      <c r="G31">
        <v>0</v>
      </c>
      <c r="H31">
        <v>1</v>
      </c>
      <c r="I31" t="s">
        <v>19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1</v>
      </c>
      <c r="S31">
        <v>0</v>
      </c>
    </row>
    <row r="32" spans="1:19" x14ac:dyDescent="0.25">
      <c r="A32" t="s">
        <v>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0</v>
      </c>
      <c r="J32" t="s">
        <v>19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20" x14ac:dyDescent="0.25">
      <c r="A33" t="s">
        <v>10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1</v>
      </c>
      <c r="K33" t="s">
        <v>19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20" x14ac:dyDescent="0.25">
      <c r="A34" t="s">
        <v>11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s">
        <v>19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20" x14ac:dyDescent="0.25">
      <c r="A35" t="s">
        <v>12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19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20" x14ac:dyDescent="0.25">
      <c r="A36" t="s">
        <v>13</v>
      </c>
      <c r="B36">
        <v>1</v>
      </c>
      <c r="C36">
        <v>0</v>
      </c>
      <c r="D36">
        <v>1</v>
      </c>
      <c r="E36">
        <v>1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 t="s">
        <v>19</v>
      </c>
      <c r="O36">
        <v>0</v>
      </c>
      <c r="P36">
        <v>1</v>
      </c>
      <c r="Q36">
        <v>1</v>
      </c>
      <c r="R36">
        <v>1</v>
      </c>
      <c r="S36">
        <v>0</v>
      </c>
    </row>
    <row r="37" spans="1:20" x14ac:dyDescent="0.25">
      <c r="A37" t="s">
        <v>14</v>
      </c>
      <c r="B37">
        <v>0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19</v>
      </c>
      <c r="P37">
        <v>0</v>
      </c>
      <c r="Q37">
        <v>0</v>
      </c>
      <c r="R37">
        <v>0</v>
      </c>
      <c r="S37">
        <v>0</v>
      </c>
    </row>
    <row r="38" spans="1:20" x14ac:dyDescent="0.25">
      <c r="A38" t="s">
        <v>15</v>
      </c>
      <c r="B38">
        <v>0</v>
      </c>
      <c r="C38">
        <v>0</v>
      </c>
      <c r="D38">
        <v>0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>
        <v>0</v>
      </c>
      <c r="P38" t="s">
        <v>19</v>
      </c>
      <c r="Q38">
        <v>1</v>
      </c>
      <c r="R38">
        <v>1</v>
      </c>
      <c r="S38">
        <v>1</v>
      </c>
    </row>
    <row r="39" spans="1:20" x14ac:dyDescent="0.25">
      <c r="A39" t="s">
        <v>16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1</v>
      </c>
      <c r="O39">
        <v>0</v>
      </c>
      <c r="P39">
        <v>1</v>
      </c>
      <c r="Q39" t="s">
        <v>19</v>
      </c>
      <c r="R39">
        <v>1</v>
      </c>
      <c r="S39">
        <v>0</v>
      </c>
    </row>
    <row r="40" spans="1:20" x14ac:dyDescent="0.25">
      <c r="A40" t="s">
        <v>17</v>
      </c>
      <c r="B40">
        <v>1</v>
      </c>
      <c r="C40">
        <v>1</v>
      </c>
      <c r="D40">
        <v>0</v>
      </c>
      <c r="E40">
        <v>1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1</v>
      </c>
      <c r="O40">
        <v>0</v>
      </c>
      <c r="P40">
        <v>1</v>
      </c>
      <c r="Q40">
        <v>1</v>
      </c>
      <c r="R40" t="s">
        <v>19</v>
      </c>
      <c r="S40">
        <v>0</v>
      </c>
    </row>
    <row r="41" spans="1:20" x14ac:dyDescent="0.25">
      <c r="A41" t="s">
        <v>18</v>
      </c>
      <c r="B41">
        <v>0</v>
      </c>
      <c r="C41">
        <v>0</v>
      </c>
      <c r="D41">
        <v>1</v>
      </c>
      <c r="E41">
        <v>1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 t="s">
        <v>19</v>
      </c>
    </row>
    <row r="44" spans="1:20" x14ac:dyDescent="0.25">
      <c r="A44" t="s">
        <v>21</v>
      </c>
    </row>
    <row r="45" spans="1:20" s="2" customFormat="1" x14ac:dyDescent="0.25">
      <c r="A45"/>
      <c r="B45" t="s">
        <v>1</v>
      </c>
      <c r="C45" t="s">
        <v>2</v>
      </c>
      <c r="D45" t="s">
        <v>3</v>
      </c>
      <c r="E45" t="s">
        <v>4</v>
      </c>
      <c r="F45" t="s">
        <v>5</v>
      </c>
      <c r="G45" t="s">
        <v>6</v>
      </c>
      <c r="H45" t="s">
        <v>7</v>
      </c>
      <c r="I45" t="s">
        <v>8</v>
      </c>
      <c r="J45" t="s">
        <v>9</v>
      </c>
      <c r="K45" t="s">
        <v>10</v>
      </c>
      <c r="L45" t="s">
        <v>11</v>
      </c>
      <c r="M45" t="s">
        <v>12</v>
      </c>
      <c r="N45" t="s">
        <v>13</v>
      </c>
      <c r="O45" t="s">
        <v>14</v>
      </c>
      <c r="P45" t="s">
        <v>15</v>
      </c>
      <c r="Q45" t="s">
        <v>16</v>
      </c>
      <c r="R45" t="s">
        <v>17</v>
      </c>
      <c r="S45" t="s">
        <v>18</v>
      </c>
      <c r="T45"/>
    </row>
    <row r="46" spans="1:20" s="2" customFormat="1" x14ac:dyDescent="0.25">
      <c r="A46" t="s">
        <v>22</v>
      </c>
      <c r="B46">
        <v>-96.341037999999998</v>
      </c>
      <c r="C46">
        <v>-96.339139000000003</v>
      </c>
      <c r="D46">
        <v>-96.35087</v>
      </c>
      <c r="E46">
        <v>-96.346134000000006</v>
      </c>
      <c r="F46">
        <v>-96.347572</v>
      </c>
      <c r="G46">
        <v>-96.356177000000002</v>
      </c>
      <c r="H46">
        <v>-96.343474000000001</v>
      </c>
      <c r="I46">
        <v>-96.342808000000005</v>
      </c>
      <c r="J46">
        <v>-96.339365000000001</v>
      </c>
      <c r="K46">
        <v>-96.341210000000004</v>
      </c>
      <c r="L46">
        <v>-96.338376999999994</v>
      </c>
      <c r="M46">
        <v>-96.358558000000002</v>
      </c>
      <c r="N46">
        <v>-96.353515999999999</v>
      </c>
      <c r="O46">
        <v>-96.335931000000002</v>
      </c>
      <c r="P46">
        <v>-96.341284999999999</v>
      </c>
      <c r="Q46">
        <v>-96.350254000000007</v>
      </c>
      <c r="R46">
        <v>-96.349030999999997</v>
      </c>
      <c r="S46">
        <v>-96.357449000000003</v>
      </c>
      <c r="T46"/>
    </row>
    <row r="47" spans="1:20" s="2" customFormat="1" x14ac:dyDescent="0.25">
      <c r="A47" t="s">
        <v>23</v>
      </c>
      <c r="B47">
        <v>30.612425999999999</v>
      </c>
      <c r="C47">
        <v>30.613968</v>
      </c>
      <c r="D47">
        <v>30.610593000000001</v>
      </c>
      <c r="E47">
        <v>30.605695000000001</v>
      </c>
      <c r="F47">
        <v>30.610818999999999</v>
      </c>
      <c r="G47">
        <v>30.607559999999999</v>
      </c>
      <c r="H47">
        <v>30.616609</v>
      </c>
      <c r="I47">
        <v>30.615601999999999</v>
      </c>
      <c r="J47">
        <v>30.619008999999998</v>
      </c>
      <c r="K47">
        <v>30.617763</v>
      </c>
      <c r="L47">
        <v>30.630410999999999</v>
      </c>
      <c r="M47">
        <v>30.610735999999999</v>
      </c>
      <c r="N47">
        <v>30.597494000000001</v>
      </c>
      <c r="O47">
        <v>30.615279000000001</v>
      </c>
      <c r="P47">
        <v>30.605141</v>
      </c>
      <c r="Q47">
        <v>30.605703999999999</v>
      </c>
      <c r="R47">
        <v>30.604465999999999</v>
      </c>
      <c r="S47">
        <v>30.622060999999999</v>
      </c>
      <c r="T47"/>
    </row>
    <row r="48" spans="1:20" s="2" customFormat="1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T48"/>
    </row>
    <row r="49" spans="2:20" s="2" customFormat="1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2:20" s="2" customForma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2:20" s="2" customFormat="1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2:20" s="2" customFormat="1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2:20" s="2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2:20" s="2" customFormat="1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2:20" s="2" customFormat="1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2:20" s="2" customForma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2:20" s="2" customFormat="1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2:20" s="2" customForma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2:20" s="2" customFormat="1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2:20" s="2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2:20" s="2" customFormat="1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2:20" s="2" customFormat="1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19"/>
  <sheetViews>
    <sheetView workbookViewId="0">
      <selection activeCell="B2" sqref="B2:S19"/>
    </sheetView>
  </sheetViews>
  <sheetFormatPr defaultRowHeight="15" x14ac:dyDescent="0.25"/>
  <sheetData>
    <row r="1" spans="1:19" x14ac:dyDescent="0.25">
      <c r="A1" t="s">
        <v>20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t="s">
        <v>1</v>
      </c>
      <c r="B2" t="s">
        <v>19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1</v>
      </c>
      <c r="S2">
        <v>0</v>
      </c>
    </row>
    <row r="3" spans="1:19" x14ac:dyDescent="0.25">
      <c r="A3" t="s">
        <v>2</v>
      </c>
      <c r="B3">
        <v>1</v>
      </c>
      <c r="C3" t="s">
        <v>19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0</v>
      </c>
      <c r="Q3">
        <v>1</v>
      </c>
      <c r="R3">
        <v>1</v>
      </c>
      <c r="S3">
        <v>0</v>
      </c>
    </row>
    <row r="4" spans="1:19" x14ac:dyDescent="0.25">
      <c r="A4" t="s">
        <v>3</v>
      </c>
      <c r="B4">
        <v>1</v>
      </c>
      <c r="C4">
        <v>0</v>
      </c>
      <c r="D4" t="s">
        <v>19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  <c r="O4">
        <v>0</v>
      </c>
      <c r="P4">
        <v>0</v>
      </c>
      <c r="Q4">
        <v>1</v>
      </c>
      <c r="R4">
        <v>0</v>
      </c>
      <c r="S4">
        <v>1</v>
      </c>
    </row>
    <row r="5" spans="1:19" x14ac:dyDescent="0.25">
      <c r="A5" t="s">
        <v>4</v>
      </c>
      <c r="B5">
        <v>1</v>
      </c>
      <c r="C5">
        <v>1</v>
      </c>
      <c r="D5">
        <v>1</v>
      </c>
      <c r="E5" t="s">
        <v>19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  <c r="O5">
        <v>0</v>
      </c>
      <c r="P5">
        <v>1</v>
      </c>
      <c r="Q5">
        <v>1</v>
      </c>
      <c r="R5">
        <v>1</v>
      </c>
      <c r="S5">
        <v>1</v>
      </c>
    </row>
    <row r="6" spans="1:19" x14ac:dyDescent="0.25">
      <c r="A6" t="s">
        <v>5</v>
      </c>
      <c r="B6">
        <v>1</v>
      </c>
      <c r="C6">
        <v>0</v>
      </c>
      <c r="D6">
        <v>0</v>
      </c>
      <c r="E6">
        <v>1</v>
      </c>
      <c r="F6" t="s">
        <v>19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</v>
      </c>
      <c r="Q6">
        <v>1</v>
      </c>
      <c r="R6">
        <v>1</v>
      </c>
      <c r="S6">
        <v>1</v>
      </c>
    </row>
    <row r="7" spans="1:19" x14ac:dyDescent="0.25">
      <c r="A7" t="s">
        <v>6</v>
      </c>
      <c r="B7">
        <v>0</v>
      </c>
      <c r="C7">
        <v>0</v>
      </c>
      <c r="D7">
        <v>1</v>
      </c>
      <c r="E7">
        <v>0</v>
      </c>
      <c r="F7">
        <v>0</v>
      </c>
      <c r="G7" t="s">
        <v>19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0</v>
      </c>
      <c r="Q7">
        <v>1</v>
      </c>
      <c r="R7">
        <v>1</v>
      </c>
      <c r="S7">
        <v>0</v>
      </c>
    </row>
    <row r="8" spans="1:19" x14ac:dyDescent="0.25">
      <c r="A8" t="s">
        <v>7</v>
      </c>
      <c r="B8">
        <v>1</v>
      </c>
      <c r="C8">
        <v>0</v>
      </c>
      <c r="D8">
        <v>0</v>
      </c>
      <c r="E8">
        <v>0</v>
      </c>
      <c r="F8">
        <v>0</v>
      </c>
      <c r="G8">
        <v>0</v>
      </c>
      <c r="H8" t="s">
        <v>19</v>
      </c>
      <c r="I8">
        <v>1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8</v>
      </c>
      <c r="B9">
        <v>1</v>
      </c>
      <c r="C9">
        <v>0</v>
      </c>
      <c r="D9">
        <v>0</v>
      </c>
      <c r="E9">
        <v>0</v>
      </c>
      <c r="F9">
        <v>1</v>
      </c>
      <c r="G9">
        <v>0</v>
      </c>
      <c r="H9">
        <v>1</v>
      </c>
      <c r="I9" t="s">
        <v>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1</v>
      </c>
      <c r="S9">
        <v>0</v>
      </c>
    </row>
    <row r="10" spans="1:19" x14ac:dyDescent="0.25">
      <c r="A10" t="s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 t="s">
        <v>19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0</v>
      </c>
      <c r="J11">
        <v>1</v>
      </c>
      <c r="K11" t="s">
        <v>19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t="s">
        <v>19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19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13</v>
      </c>
      <c r="B14">
        <v>1</v>
      </c>
      <c r="C14">
        <v>0</v>
      </c>
      <c r="D14">
        <v>1</v>
      </c>
      <c r="E14">
        <v>1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s">
        <v>19</v>
      </c>
      <c r="O14">
        <v>0</v>
      </c>
      <c r="P14">
        <v>1</v>
      </c>
      <c r="Q14">
        <v>1</v>
      </c>
      <c r="R14">
        <v>1</v>
      </c>
      <c r="S14">
        <v>0</v>
      </c>
    </row>
    <row r="15" spans="1:19" x14ac:dyDescent="0.25">
      <c r="A15" t="s">
        <v>14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19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15</v>
      </c>
      <c r="B16">
        <v>0</v>
      </c>
      <c r="C16">
        <v>0</v>
      </c>
      <c r="D16">
        <v>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 t="s">
        <v>19</v>
      </c>
      <c r="Q16">
        <v>1</v>
      </c>
      <c r="R16">
        <v>1</v>
      </c>
      <c r="S16">
        <v>1</v>
      </c>
    </row>
    <row r="17" spans="1:19" x14ac:dyDescent="0.25">
      <c r="A17" t="s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1</v>
      </c>
      <c r="Q17" t="s">
        <v>19</v>
      </c>
      <c r="R17">
        <v>1</v>
      </c>
      <c r="S17">
        <v>0</v>
      </c>
    </row>
    <row r="18" spans="1:19" x14ac:dyDescent="0.25">
      <c r="A18" t="s">
        <v>17</v>
      </c>
      <c r="B18">
        <v>1</v>
      </c>
      <c r="C18">
        <v>1</v>
      </c>
      <c r="D18">
        <v>0</v>
      </c>
      <c r="E18">
        <v>1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1</v>
      </c>
      <c r="Q18">
        <v>1</v>
      </c>
      <c r="R18" t="s">
        <v>19</v>
      </c>
      <c r="S18">
        <v>0</v>
      </c>
    </row>
    <row r="19" spans="1:19" x14ac:dyDescent="0.25">
      <c r="A19" t="s">
        <v>18</v>
      </c>
      <c r="B19">
        <v>0</v>
      </c>
      <c r="C19">
        <v>0</v>
      </c>
      <c r="D19">
        <v>1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"/>
  <sheetViews>
    <sheetView topLeftCell="A7" workbookViewId="0">
      <selection activeCell="C24" sqref="C24"/>
    </sheetView>
  </sheetViews>
  <sheetFormatPr defaultColWidth="3" defaultRowHeight="15" x14ac:dyDescent="0.25"/>
  <cols>
    <col min="1" max="1" width="6.28515625" bestFit="1" customWidth="1"/>
    <col min="2" max="3" width="17.5703125" bestFit="1" customWidth="1"/>
    <col min="4" max="4" width="13.28515625" bestFit="1" customWidth="1"/>
    <col min="5" max="5" width="11.5703125" bestFit="1" customWidth="1"/>
    <col min="6" max="6" width="8.5703125" bestFit="1" customWidth="1"/>
    <col min="7" max="7" width="18" bestFit="1" customWidth="1"/>
    <col min="8" max="8" width="9.42578125" bestFit="1" customWidth="1"/>
    <col min="9" max="9" width="18.85546875" customWidth="1"/>
    <col min="10" max="10" width="9.42578125" bestFit="1" customWidth="1"/>
    <col min="11" max="11" width="4" bestFit="1" customWidth="1"/>
    <col min="19" max="19" width="8.5703125" bestFit="1" customWidth="1"/>
    <col min="20" max="20" width="14.7109375" customWidth="1"/>
  </cols>
  <sheetData>
    <row r="1" spans="1:8" x14ac:dyDescent="0.25">
      <c r="A1" t="s">
        <v>42</v>
      </c>
      <c r="F1" t="s">
        <v>43</v>
      </c>
      <c r="G1" t="s">
        <v>45</v>
      </c>
      <c r="H1" t="s">
        <v>25</v>
      </c>
    </row>
    <row r="2" spans="1:8" x14ac:dyDescent="0.25">
      <c r="A2" t="s">
        <v>46</v>
      </c>
      <c r="B2" t="s">
        <v>1</v>
      </c>
      <c r="C2" t="s">
        <v>3</v>
      </c>
      <c r="F2">
        <v>0.56899999999999995</v>
      </c>
      <c r="G2">
        <v>0.42021281961793994</v>
      </c>
      <c r="H2">
        <v>174044</v>
      </c>
    </row>
    <row r="3" spans="1:8" x14ac:dyDescent="0.25">
      <c r="A3" t="s">
        <v>46</v>
      </c>
      <c r="B3" t="s">
        <v>3</v>
      </c>
      <c r="C3" t="s">
        <v>1</v>
      </c>
      <c r="F3">
        <v>0.56899999999999995</v>
      </c>
      <c r="G3">
        <v>0.27188586818172322</v>
      </c>
      <c r="H3">
        <v>174044</v>
      </c>
    </row>
    <row r="4" spans="1:8" x14ac:dyDescent="0.25">
      <c r="A4" t="s">
        <v>46</v>
      </c>
      <c r="B4" t="s">
        <v>4</v>
      </c>
      <c r="C4" t="s">
        <v>1</v>
      </c>
      <c r="F4">
        <v>0.53300000000000003</v>
      </c>
      <c r="G4">
        <v>0.25468395033542796</v>
      </c>
      <c r="H4">
        <v>154521</v>
      </c>
    </row>
    <row r="5" spans="1:8" x14ac:dyDescent="0.25">
      <c r="A5" t="s">
        <v>46</v>
      </c>
      <c r="B5" t="s">
        <v>13</v>
      </c>
      <c r="C5" t="s">
        <v>17</v>
      </c>
      <c r="D5" t="s">
        <v>1</v>
      </c>
      <c r="F5">
        <v>1.292</v>
      </c>
      <c r="G5">
        <v>0.88975751423607119</v>
      </c>
      <c r="H5">
        <v>135244</v>
      </c>
    </row>
    <row r="6" spans="1:8" x14ac:dyDescent="0.25">
      <c r="A6" t="s">
        <v>46</v>
      </c>
      <c r="B6" t="s">
        <v>16</v>
      </c>
      <c r="C6" t="s">
        <v>1</v>
      </c>
      <c r="F6">
        <v>0.747</v>
      </c>
      <c r="G6">
        <v>0.35693979531062792</v>
      </c>
      <c r="H6">
        <v>124898</v>
      </c>
    </row>
    <row r="7" spans="1:8" ht="15.75" customHeight="1" x14ac:dyDescent="0.25">
      <c r="A7" t="s">
        <v>46</v>
      </c>
      <c r="B7" t="s">
        <v>17</v>
      </c>
      <c r="C7" t="s">
        <v>1</v>
      </c>
      <c r="F7">
        <v>0.74199999999999999</v>
      </c>
      <c r="G7">
        <v>0.35455064005419801</v>
      </c>
      <c r="H7">
        <v>124821</v>
      </c>
    </row>
    <row r="8" spans="1:8" x14ac:dyDescent="0.25">
      <c r="A8" t="s">
        <v>46</v>
      </c>
      <c r="B8" t="s">
        <v>18</v>
      </c>
      <c r="C8" t="s">
        <v>3</v>
      </c>
      <c r="D8" t="s">
        <v>4</v>
      </c>
      <c r="F8">
        <v>1.319</v>
      </c>
      <c r="G8">
        <v>1.0125324130781024</v>
      </c>
      <c r="H8">
        <v>94534</v>
      </c>
    </row>
    <row r="9" spans="1:8" x14ac:dyDescent="0.25">
      <c r="A9" t="s">
        <v>46</v>
      </c>
      <c r="B9" t="s">
        <v>2</v>
      </c>
      <c r="C9" t="s">
        <v>4</v>
      </c>
      <c r="D9" t="s">
        <v>13</v>
      </c>
      <c r="F9">
        <v>1.3719999999999999</v>
      </c>
      <c r="G9">
        <v>1.2189187721094203</v>
      </c>
      <c r="H9">
        <v>55597</v>
      </c>
    </row>
    <row r="10" spans="1:8" x14ac:dyDescent="0.25">
      <c r="A10" t="s">
        <v>46</v>
      </c>
      <c r="B10" t="s">
        <v>8</v>
      </c>
      <c r="C10" t="s">
        <v>5</v>
      </c>
      <c r="D10" t="s">
        <v>16</v>
      </c>
      <c r="E10" t="s">
        <v>13</v>
      </c>
      <c r="F10">
        <v>1.4379999999999999</v>
      </c>
      <c r="G10">
        <v>1.3599266218687114</v>
      </c>
      <c r="H10">
        <v>52205</v>
      </c>
    </row>
    <row r="11" spans="1:8" x14ac:dyDescent="0.25">
      <c r="A11" t="s">
        <v>46</v>
      </c>
      <c r="B11" t="s">
        <v>6</v>
      </c>
      <c r="C11" t="s">
        <v>17</v>
      </c>
      <c r="D11" t="s">
        <v>15</v>
      </c>
      <c r="F11">
        <v>0.91600000000000004</v>
      </c>
      <c r="G11">
        <v>0.88806252205950309</v>
      </c>
      <c r="H11">
        <v>42559</v>
      </c>
    </row>
    <row r="12" spans="1:8" x14ac:dyDescent="0.25">
      <c r="A12" t="s">
        <v>46</v>
      </c>
      <c r="B12" t="s">
        <v>15</v>
      </c>
      <c r="C12" t="s">
        <v>17</v>
      </c>
      <c r="D12" t="s">
        <v>6</v>
      </c>
      <c r="F12">
        <v>0.91600000000000004</v>
      </c>
      <c r="G12">
        <v>0.83334169981922157</v>
      </c>
      <c r="H12">
        <v>42559</v>
      </c>
    </row>
    <row r="13" spans="1:8" x14ac:dyDescent="0.25">
      <c r="A13" t="s">
        <v>46</v>
      </c>
      <c r="B13" t="s">
        <v>5</v>
      </c>
      <c r="C13" t="s">
        <v>8</v>
      </c>
      <c r="F13">
        <v>0.442</v>
      </c>
      <c r="G13">
        <v>0.39658585431276727</v>
      </c>
      <c r="H13">
        <v>36461</v>
      </c>
    </row>
    <row r="14" spans="1:8" x14ac:dyDescent="0.25">
      <c r="A14" t="s">
        <v>46</v>
      </c>
      <c r="B14" t="s">
        <v>7</v>
      </c>
      <c r="C14" t="s">
        <v>44</v>
      </c>
      <c r="F14">
        <v>0</v>
      </c>
      <c r="G14">
        <v>0</v>
      </c>
      <c r="H14">
        <v>0</v>
      </c>
    </row>
    <row r="15" spans="1:8" x14ac:dyDescent="0.25">
      <c r="A15" t="s">
        <v>46</v>
      </c>
      <c r="B15" t="s">
        <v>9</v>
      </c>
      <c r="C15" t="s">
        <v>44</v>
      </c>
      <c r="F15">
        <v>0</v>
      </c>
      <c r="G15">
        <v>0</v>
      </c>
      <c r="H15">
        <v>0</v>
      </c>
    </row>
    <row r="16" spans="1:8" x14ac:dyDescent="0.25">
      <c r="A16" t="s">
        <v>46</v>
      </c>
      <c r="B16" t="s">
        <v>10</v>
      </c>
      <c r="C16" t="s">
        <v>44</v>
      </c>
      <c r="F16">
        <v>0</v>
      </c>
      <c r="G16">
        <v>0</v>
      </c>
      <c r="H16">
        <v>0</v>
      </c>
    </row>
    <row r="17" spans="1:8" x14ac:dyDescent="0.25">
      <c r="A17" t="s">
        <v>46</v>
      </c>
      <c r="B17" t="s">
        <v>11</v>
      </c>
      <c r="C17" t="s">
        <v>44</v>
      </c>
      <c r="F17">
        <v>0</v>
      </c>
      <c r="G17">
        <v>0</v>
      </c>
      <c r="H17">
        <v>0</v>
      </c>
    </row>
    <row r="18" spans="1:8" x14ac:dyDescent="0.25">
      <c r="A18" t="s">
        <v>46</v>
      </c>
      <c r="B18" t="s">
        <v>12</v>
      </c>
      <c r="C18" t="s">
        <v>44</v>
      </c>
      <c r="F18">
        <v>0</v>
      </c>
      <c r="G18">
        <v>0</v>
      </c>
      <c r="H18">
        <v>0</v>
      </c>
    </row>
    <row r="19" spans="1:8" x14ac:dyDescent="0.25">
      <c r="A19" t="s">
        <v>46</v>
      </c>
      <c r="B19" t="s">
        <v>14</v>
      </c>
      <c r="C19" t="s">
        <v>44</v>
      </c>
      <c r="F19">
        <v>0</v>
      </c>
      <c r="G19">
        <v>0</v>
      </c>
      <c r="H19">
        <v>0</v>
      </c>
    </row>
    <row r="20" spans="1:8" x14ac:dyDescent="0.25">
      <c r="A20" t="s">
        <v>46</v>
      </c>
    </row>
  </sheetData>
  <autoFilter ref="H1:H20"/>
  <sortState ref="A1:H20">
    <sortCondition descending="1" ref="H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9"/>
  <sheetViews>
    <sheetView workbookViewId="0">
      <selection activeCell="I6" sqref="I6"/>
    </sheetView>
  </sheetViews>
  <sheetFormatPr defaultRowHeight="15" x14ac:dyDescent="0.25"/>
  <cols>
    <col min="1" max="1" width="6.28515625" bestFit="1" customWidth="1"/>
    <col min="2" max="3" width="17.5703125" bestFit="1" customWidth="1"/>
    <col min="4" max="4" width="13.28515625" bestFit="1" customWidth="1"/>
    <col min="5" max="5" width="11.5703125" bestFit="1" customWidth="1"/>
    <col min="6" max="6" width="8.5703125" bestFit="1" customWidth="1"/>
    <col min="7" max="7" width="18" bestFit="1" customWidth="1"/>
    <col min="8" max="8" width="9.42578125" bestFit="1" customWidth="1"/>
    <col min="10" max="10" width="11.85546875" bestFit="1" customWidth="1"/>
  </cols>
  <sheetData>
    <row r="1" spans="1:10" x14ac:dyDescent="0.25">
      <c r="A1" t="s">
        <v>42</v>
      </c>
      <c r="F1" t="s">
        <v>43</v>
      </c>
      <c r="G1" t="s">
        <v>45</v>
      </c>
      <c r="H1" t="s">
        <v>25</v>
      </c>
      <c r="J1" s="5">
        <v>30000000</v>
      </c>
    </row>
    <row r="2" spans="1:10" s="2" customFormat="1" x14ac:dyDescent="0.25">
      <c r="A2" s="2" t="s">
        <v>46</v>
      </c>
      <c r="B2" s="2" t="s">
        <v>1</v>
      </c>
      <c r="C2" s="2" t="s">
        <v>3</v>
      </c>
      <c r="F2" s="2">
        <v>0.56899999999999995</v>
      </c>
      <c r="G2" s="2">
        <v>0.42021281961793994</v>
      </c>
      <c r="H2" s="2">
        <v>174044</v>
      </c>
    </row>
    <row r="3" spans="1:10" x14ac:dyDescent="0.25">
      <c r="A3" t="s">
        <v>46</v>
      </c>
      <c r="B3" t="s">
        <v>3</v>
      </c>
      <c r="C3" t="s">
        <v>1</v>
      </c>
      <c r="F3">
        <v>0.56899999999999995</v>
      </c>
      <c r="G3">
        <v>0.27188586818172322</v>
      </c>
      <c r="H3">
        <v>174044</v>
      </c>
    </row>
    <row r="4" spans="1:10" x14ac:dyDescent="0.25">
      <c r="A4" t="s">
        <v>46</v>
      </c>
      <c r="B4" t="s">
        <v>4</v>
      </c>
      <c r="C4" t="s">
        <v>1</v>
      </c>
      <c r="F4">
        <v>0.53300000000000003</v>
      </c>
      <c r="G4">
        <v>0.25468395033542796</v>
      </c>
      <c r="H4">
        <v>154521</v>
      </c>
      <c r="I4">
        <f>H2+H5</f>
        <v>309288</v>
      </c>
      <c r="J4">
        <f>I4-119057</f>
        <v>190231</v>
      </c>
    </row>
    <row r="5" spans="1:10" s="2" customFormat="1" x14ac:dyDescent="0.25">
      <c r="A5" s="2" t="s">
        <v>46</v>
      </c>
      <c r="B5" s="2" t="s">
        <v>13</v>
      </c>
      <c r="C5" s="2" t="s">
        <v>17</v>
      </c>
      <c r="D5" s="2" t="s">
        <v>1</v>
      </c>
      <c r="F5" s="2">
        <v>1.292</v>
      </c>
      <c r="G5" s="2">
        <v>0.88975751423607119</v>
      </c>
      <c r="H5" s="2">
        <v>135244</v>
      </c>
      <c r="I5" s="2">
        <f>G5+G2</f>
        <v>1.3099703338540112</v>
      </c>
    </row>
    <row r="6" spans="1:10" x14ac:dyDescent="0.25">
      <c r="A6" t="s">
        <v>46</v>
      </c>
      <c r="B6" t="s">
        <v>16</v>
      </c>
      <c r="C6" t="s">
        <v>1</v>
      </c>
      <c r="F6">
        <v>0.747</v>
      </c>
      <c r="G6">
        <v>0.35693979531062792</v>
      </c>
      <c r="H6">
        <v>124898</v>
      </c>
      <c r="J6" s="6">
        <f>J1/I4</f>
        <v>96.996973694420731</v>
      </c>
    </row>
    <row r="7" spans="1:10" x14ac:dyDescent="0.25">
      <c r="A7" t="s">
        <v>46</v>
      </c>
      <c r="B7" t="s">
        <v>17</v>
      </c>
      <c r="C7" t="s">
        <v>1</v>
      </c>
      <c r="F7">
        <v>0.74199999999999999</v>
      </c>
      <c r="G7">
        <v>0.35455064005419801</v>
      </c>
      <c r="H7">
        <v>124821</v>
      </c>
    </row>
    <row r="8" spans="1:10" x14ac:dyDescent="0.25">
      <c r="A8" t="s">
        <v>46</v>
      </c>
      <c r="B8" t="s">
        <v>18</v>
      </c>
      <c r="C8" t="s">
        <v>3</v>
      </c>
      <c r="D8" t="s">
        <v>4</v>
      </c>
      <c r="F8">
        <v>1.319</v>
      </c>
      <c r="G8">
        <v>1.0125324130781024</v>
      </c>
      <c r="H8">
        <v>94534</v>
      </c>
    </row>
    <row r="9" spans="1:10" x14ac:dyDescent="0.25">
      <c r="A9" t="s">
        <v>46</v>
      </c>
      <c r="B9" t="s">
        <v>2</v>
      </c>
      <c r="C9" t="s">
        <v>4</v>
      </c>
      <c r="D9" t="s">
        <v>13</v>
      </c>
      <c r="F9">
        <v>1.3719999999999999</v>
      </c>
      <c r="G9">
        <v>1.2189187721094203</v>
      </c>
      <c r="H9">
        <v>55597</v>
      </c>
    </row>
    <row r="10" spans="1:10" x14ac:dyDescent="0.25">
      <c r="A10" t="s">
        <v>46</v>
      </c>
      <c r="B10" t="s">
        <v>8</v>
      </c>
      <c r="C10" t="s">
        <v>5</v>
      </c>
      <c r="D10" t="s">
        <v>16</v>
      </c>
      <c r="E10" t="s">
        <v>13</v>
      </c>
      <c r="F10">
        <v>1.4379999999999999</v>
      </c>
      <c r="G10">
        <v>1.3599266218687114</v>
      </c>
      <c r="H10">
        <v>52205</v>
      </c>
    </row>
    <row r="11" spans="1:10" x14ac:dyDescent="0.25">
      <c r="A11" t="s">
        <v>46</v>
      </c>
      <c r="B11" t="s">
        <v>6</v>
      </c>
      <c r="C11" t="s">
        <v>17</v>
      </c>
      <c r="D11" t="s">
        <v>15</v>
      </c>
      <c r="F11">
        <v>0.91600000000000004</v>
      </c>
      <c r="G11">
        <v>0.88806252205950309</v>
      </c>
      <c r="H11">
        <v>42559</v>
      </c>
    </row>
    <row r="12" spans="1:10" x14ac:dyDescent="0.25">
      <c r="A12" t="s">
        <v>46</v>
      </c>
      <c r="B12" t="s">
        <v>15</v>
      </c>
      <c r="C12" t="s">
        <v>17</v>
      </c>
      <c r="D12" t="s">
        <v>6</v>
      </c>
      <c r="F12">
        <v>0.91600000000000004</v>
      </c>
      <c r="G12">
        <v>0.83334169981922157</v>
      </c>
      <c r="H12">
        <v>42559</v>
      </c>
    </row>
    <row r="13" spans="1:10" x14ac:dyDescent="0.25">
      <c r="A13" t="s">
        <v>46</v>
      </c>
      <c r="B13" t="s">
        <v>5</v>
      </c>
      <c r="C13" t="s">
        <v>8</v>
      </c>
      <c r="F13">
        <v>0.442</v>
      </c>
      <c r="G13">
        <v>0.39658585431276727</v>
      </c>
      <c r="H13">
        <v>36461</v>
      </c>
    </row>
    <row r="14" spans="1:10" x14ac:dyDescent="0.25">
      <c r="A14" t="s">
        <v>46</v>
      </c>
      <c r="B14" t="s">
        <v>7</v>
      </c>
      <c r="C14" t="s">
        <v>44</v>
      </c>
      <c r="F14">
        <v>0</v>
      </c>
      <c r="G14">
        <v>0</v>
      </c>
      <c r="H14">
        <v>0</v>
      </c>
    </row>
    <row r="15" spans="1:10" x14ac:dyDescent="0.25">
      <c r="A15" t="s">
        <v>46</v>
      </c>
      <c r="B15" t="s">
        <v>9</v>
      </c>
      <c r="C15" t="s">
        <v>44</v>
      </c>
      <c r="F15">
        <v>0</v>
      </c>
      <c r="G15">
        <v>0</v>
      </c>
      <c r="H15">
        <v>0</v>
      </c>
    </row>
    <row r="16" spans="1:10" x14ac:dyDescent="0.25">
      <c r="A16" t="s">
        <v>46</v>
      </c>
      <c r="B16" t="s">
        <v>10</v>
      </c>
      <c r="C16" t="s">
        <v>44</v>
      </c>
      <c r="F16">
        <v>0</v>
      </c>
      <c r="G16">
        <v>0</v>
      </c>
      <c r="H16">
        <v>0</v>
      </c>
    </row>
    <row r="17" spans="1:8" x14ac:dyDescent="0.25">
      <c r="A17" t="s">
        <v>46</v>
      </c>
      <c r="B17" t="s">
        <v>11</v>
      </c>
      <c r="C17" t="s">
        <v>44</v>
      </c>
      <c r="F17">
        <v>0</v>
      </c>
      <c r="G17">
        <v>0</v>
      </c>
      <c r="H17">
        <v>0</v>
      </c>
    </row>
    <row r="18" spans="1:8" x14ac:dyDescent="0.25">
      <c r="A18" t="s">
        <v>46</v>
      </c>
      <c r="B18" t="s">
        <v>12</v>
      </c>
      <c r="C18" t="s">
        <v>44</v>
      </c>
      <c r="F18">
        <v>0</v>
      </c>
      <c r="G18">
        <v>0</v>
      </c>
      <c r="H18">
        <v>0</v>
      </c>
    </row>
    <row r="19" spans="1:8" x14ac:dyDescent="0.25">
      <c r="A19" t="s">
        <v>46</v>
      </c>
      <c r="B19" t="s">
        <v>14</v>
      </c>
      <c r="C19" t="s">
        <v>44</v>
      </c>
      <c r="F19">
        <v>0</v>
      </c>
      <c r="G19">
        <v>0</v>
      </c>
      <c r="H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8"/>
  <sheetViews>
    <sheetView workbookViewId="0">
      <selection activeCell="R6" sqref="R6"/>
    </sheetView>
  </sheetViews>
  <sheetFormatPr defaultRowHeight="15" x14ac:dyDescent="0.25"/>
  <cols>
    <col min="1" max="1" width="6.28515625" bestFit="1" customWidth="1"/>
    <col min="2" max="5" width="17.5703125" bestFit="1" customWidth="1"/>
    <col min="6" max="6" width="15" bestFit="1" customWidth="1"/>
    <col min="7" max="7" width="15.7109375" bestFit="1" customWidth="1"/>
    <col min="8" max="8" width="8.5703125" bestFit="1" customWidth="1"/>
    <col min="9" max="9" width="18" bestFit="1" customWidth="1"/>
    <col min="10" max="10" width="9.42578125" bestFit="1" customWidth="1"/>
    <col min="11" max="11" width="26.85546875" bestFit="1" customWidth="1"/>
    <col min="12" max="12" width="12.85546875" bestFit="1" customWidth="1"/>
    <col min="13" max="13" width="14.5703125" bestFit="1" customWidth="1"/>
    <col min="14" max="14" width="15.5703125" bestFit="1" customWidth="1"/>
    <col min="15" max="15" width="17.28515625" bestFit="1" customWidth="1"/>
  </cols>
  <sheetData>
    <row r="1" spans="1:15" x14ac:dyDescent="0.25">
      <c r="A1" t="s">
        <v>42</v>
      </c>
      <c r="H1" t="s">
        <v>43</v>
      </c>
      <c r="I1" t="s">
        <v>45</v>
      </c>
      <c r="J1" t="s">
        <v>25</v>
      </c>
      <c r="L1" t="s">
        <v>49</v>
      </c>
      <c r="M1" t="s">
        <v>50</v>
      </c>
    </row>
    <row r="2" spans="1:15" s="2" customFormat="1" x14ac:dyDescent="0.25">
      <c r="A2" s="2" t="s">
        <v>46</v>
      </c>
      <c r="B2" s="2" t="s">
        <v>10</v>
      </c>
      <c r="C2" s="2" t="s">
        <v>3</v>
      </c>
      <c r="D2" s="2" t="s">
        <v>17</v>
      </c>
      <c r="E2" s="2" t="s">
        <v>15</v>
      </c>
      <c r="F2" s="2" t="s">
        <v>1</v>
      </c>
      <c r="G2" s="2" t="s">
        <v>9</v>
      </c>
      <c r="H2" s="2">
        <v>2.6240000000000001</v>
      </c>
      <c r="I2" s="2">
        <v>2.0871596961721242</v>
      </c>
      <c r="J2" s="2">
        <v>219588</v>
      </c>
      <c r="K2" s="2" t="s">
        <v>47</v>
      </c>
      <c r="L2" s="7">
        <v>250000000</v>
      </c>
      <c r="M2" s="7">
        <v>1000000000</v>
      </c>
      <c r="N2" s="7">
        <f>L2*H2</f>
        <v>656000000</v>
      </c>
      <c r="O2" s="7">
        <f>M2*H2</f>
        <v>2624000000</v>
      </c>
    </row>
    <row r="3" spans="1:15" x14ac:dyDescent="0.25">
      <c r="A3" t="s">
        <v>46</v>
      </c>
      <c r="B3" t="s">
        <v>12</v>
      </c>
      <c r="C3" t="s">
        <v>3</v>
      </c>
      <c r="D3" t="s">
        <v>1</v>
      </c>
      <c r="E3" t="s">
        <v>9</v>
      </c>
      <c r="F3" t="s">
        <v>11</v>
      </c>
      <c r="H3">
        <v>2.3540000000000001</v>
      </c>
      <c r="I3">
        <v>1.8179205140230774</v>
      </c>
      <c r="J3">
        <v>218330</v>
      </c>
      <c r="K3" t="s">
        <v>51</v>
      </c>
      <c r="L3" s="6">
        <f>L2/J2</f>
        <v>1138.4957283640272</v>
      </c>
      <c r="M3" s="6">
        <f>M2/J2</f>
        <v>4553.9829134561087</v>
      </c>
      <c r="N3" s="6"/>
    </row>
    <row r="4" spans="1:15" x14ac:dyDescent="0.25">
      <c r="A4" t="s">
        <v>46</v>
      </c>
      <c r="B4" t="s">
        <v>3</v>
      </c>
      <c r="C4" t="s">
        <v>1</v>
      </c>
      <c r="D4" t="s">
        <v>9</v>
      </c>
      <c r="E4" t="s">
        <v>11</v>
      </c>
      <c r="H4">
        <v>1.8180000000000001</v>
      </c>
      <c r="I4">
        <v>1.4220785609207645</v>
      </c>
      <c r="J4">
        <v>206431</v>
      </c>
      <c r="K4" t="s">
        <v>48</v>
      </c>
      <c r="L4" s="5">
        <v>20000000</v>
      </c>
      <c r="M4" s="5">
        <v>50000000</v>
      </c>
      <c r="N4" s="6">
        <f>L4*'Tubular Rail Route'!I5</f>
        <v>26199406.677080225</v>
      </c>
      <c r="O4" s="6">
        <f>M4*'Tubular Rail Route'!I5</f>
        <v>65498516.692700557</v>
      </c>
    </row>
    <row r="5" spans="1:15" x14ac:dyDescent="0.25">
      <c r="A5" t="s">
        <v>46</v>
      </c>
      <c r="B5" t="s">
        <v>9</v>
      </c>
      <c r="C5" t="s">
        <v>1</v>
      </c>
      <c r="D5" t="s">
        <v>3</v>
      </c>
      <c r="E5" t="s">
        <v>12</v>
      </c>
      <c r="H5">
        <v>1.5680000000000001</v>
      </c>
      <c r="I5">
        <v>1.1450193553984322</v>
      </c>
      <c r="J5">
        <v>204274</v>
      </c>
      <c r="K5" t="s">
        <v>51</v>
      </c>
      <c r="L5" s="6">
        <f>L4/'Tubular Rail Route'!J4</f>
        <v>105.13533546057162</v>
      </c>
      <c r="M5" s="6">
        <f>M4/'Tubular Rail Route'!J4</f>
        <v>262.83833865142907</v>
      </c>
    </row>
    <row r="6" spans="1:15" x14ac:dyDescent="0.25">
      <c r="A6" t="s">
        <v>46</v>
      </c>
      <c r="B6" t="s">
        <v>11</v>
      </c>
      <c r="C6" t="s">
        <v>1</v>
      </c>
      <c r="D6" t="s">
        <v>3</v>
      </c>
      <c r="E6" t="s">
        <v>12</v>
      </c>
      <c r="H6">
        <v>2.371</v>
      </c>
      <c r="I6">
        <v>1.5287176895810752</v>
      </c>
      <c r="J6">
        <v>199999</v>
      </c>
      <c r="K6" t="s">
        <v>52</v>
      </c>
      <c r="L6" s="5">
        <v>50000000</v>
      </c>
      <c r="M6" s="5">
        <v>100000000</v>
      </c>
      <c r="N6" s="5">
        <f>L6*'Subway Route'!H2</f>
        <v>131200000</v>
      </c>
      <c r="O6" s="5">
        <f>M6*H2</f>
        <v>262400000</v>
      </c>
    </row>
    <row r="7" spans="1:15" x14ac:dyDescent="0.25">
      <c r="A7" t="s">
        <v>46</v>
      </c>
      <c r="B7" t="s">
        <v>18</v>
      </c>
      <c r="C7" t="s">
        <v>1</v>
      </c>
      <c r="D7" t="s">
        <v>15</v>
      </c>
      <c r="E7" t="s">
        <v>17</v>
      </c>
      <c r="F7" t="s">
        <v>3</v>
      </c>
      <c r="H7">
        <v>2.6120000000000001</v>
      </c>
      <c r="I7">
        <v>1.8434299645652938</v>
      </c>
      <c r="J7">
        <v>191091</v>
      </c>
      <c r="K7" t="s">
        <v>51</v>
      </c>
      <c r="L7" s="6">
        <f>L6/J2</f>
        <v>227.69914567280543</v>
      </c>
      <c r="M7" s="6">
        <f>M6/J2</f>
        <v>455.39829134561086</v>
      </c>
    </row>
    <row r="8" spans="1:15" x14ac:dyDescent="0.25">
      <c r="A8" t="s">
        <v>46</v>
      </c>
      <c r="B8" t="s">
        <v>6</v>
      </c>
      <c r="C8" t="s">
        <v>17</v>
      </c>
      <c r="D8" t="s">
        <v>1</v>
      </c>
      <c r="E8" t="s">
        <v>9</v>
      </c>
      <c r="F8" t="s">
        <v>11</v>
      </c>
      <c r="H8">
        <v>2.4550000000000001</v>
      </c>
      <c r="I8">
        <v>1.9562633139212195</v>
      </c>
      <c r="J8">
        <v>187843</v>
      </c>
      <c r="L8" s="5"/>
    </row>
    <row r="9" spans="1:15" x14ac:dyDescent="0.25">
      <c r="A9" t="s">
        <v>46</v>
      </c>
      <c r="B9" t="s">
        <v>4</v>
      </c>
      <c r="C9" t="s">
        <v>1</v>
      </c>
      <c r="D9" t="s">
        <v>9</v>
      </c>
      <c r="E9" t="s">
        <v>11</v>
      </c>
      <c r="H9">
        <v>1.782</v>
      </c>
      <c r="I9">
        <v>1.4048766430744695</v>
      </c>
      <c r="J9">
        <v>186908</v>
      </c>
      <c r="L9" s="6"/>
    </row>
    <row r="10" spans="1:15" x14ac:dyDescent="0.25">
      <c r="A10" t="s">
        <v>46</v>
      </c>
      <c r="B10" t="s">
        <v>15</v>
      </c>
      <c r="C10" t="s">
        <v>1</v>
      </c>
      <c r="D10" t="s">
        <v>9</v>
      </c>
      <c r="E10" t="s">
        <v>11</v>
      </c>
      <c r="H10">
        <v>1.772</v>
      </c>
      <c r="I10">
        <v>1.4000983325616096</v>
      </c>
      <c r="J10">
        <v>158644</v>
      </c>
      <c r="N10" s="6">
        <f>N2-N4</f>
        <v>629800593.32291973</v>
      </c>
      <c r="O10" s="6">
        <f>O2-O4</f>
        <v>2558501483.3072996</v>
      </c>
    </row>
    <row r="11" spans="1:15" x14ac:dyDescent="0.25">
      <c r="A11" t="s">
        <v>46</v>
      </c>
      <c r="B11" t="s">
        <v>16</v>
      </c>
      <c r="C11" t="s">
        <v>1</v>
      </c>
      <c r="D11" t="s">
        <v>9</v>
      </c>
      <c r="E11" t="s">
        <v>11</v>
      </c>
      <c r="H11">
        <v>1.996</v>
      </c>
      <c r="I11">
        <v>1.5071324880496693</v>
      </c>
      <c r="J11">
        <v>157285</v>
      </c>
      <c r="N11" s="6">
        <f>N6-N4</f>
        <v>105000593.32291977</v>
      </c>
      <c r="O11" s="6">
        <f>O6-O4</f>
        <v>196901483.30729944</v>
      </c>
    </row>
    <row r="12" spans="1:15" x14ac:dyDescent="0.25">
      <c r="A12" t="s">
        <v>46</v>
      </c>
      <c r="B12" t="s">
        <v>1</v>
      </c>
      <c r="C12" t="s">
        <v>9</v>
      </c>
      <c r="D12" t="s">
        <v>11</v>
      </c>
      <c r="H12">
        <v>1.2490000000000001</v>
      </c>
      <c r="I12">
        <v>1.1501926927390413</v>
      </c>
      <c r="J12">
        <v>151964</v>
      </c>
    </row>
    <row r="13" spans="1:15" x14ac:dyDescent="0.25">
      <c r="A13" t="s">
        <v>46</v>
      </c>
      <c r="B13" t="s">
        <v>13</v>
      </c>
      <c r="C13" t="s">
        <v>17</v>
      </c>
      <c r="D13" t="s">
        <v>3</v>
      </c>
      <c r="E13" t="s">
        <v>12</v>
      </c>
      <c r="H13">
        <v>1.532</v>
      </c>
      <c r="I13">
        <v>1.3681535867311938</v>
      </c>
      <c r="J13">
        <v>82033</v>
      </c>
    </row>
    <row r="14" spans="1:15" x14ac:dyDescent="0.25">
      <c r="A14" t="s">
        <v>46</v>
      </c>
      <c r="B14" t="s">
        <v>17</v>
      </c>
      <c r="C14" t="s">
        <v>3</v>
      </c>
      <c r="D14" t="s">
        <v>12</v>
      </c>
      <c r="H14">
        <v>0.98199999999999998</v>
      </c>
      <c r="I14">
        <v>0.83294671254932073</v>
      </c>
      <c r="J14">
        <v>71610</v>
      </c>
    </row>
    <row r="15" spans="1:15" x14ac:dyDescent="0.25">
      <c r="A15" t="s">
        <v>46</v>
      </c>
      <c r="B15" t="s">
        <v>14</v>
      </c>
      <c r="C15" t="s">
        <v>8</v>
      </c>
      <c r="D15" t="s">
        <v>5</v>
      </c>
      <c r="E15" t="s">
        <v>16</v>
      </c>
      <c r="F15" t="s">
        <v>13</v>
      </c>
      <c r="H15">
        <v>1.8479999999999999</v>
      </c>
      <c r="I15">
        <v>1.7278003781316853</v>
      </c>
      <c r="J15">
        <v>60823</v>
      </c>
    </row>
    <row r="16" spans="1:15" x14ac:dyDescent="0.25">
      <c r="A16" t="s">
        <v>46</v>
      </c>
      <c r="B16" t="s">
        <v>5</v>
      </c>
      <c r="C16" t="s">
        <v>8</v>
      </c>
      <c r="D16" t="s">
        <v>14</v>
      </c>
      <c r="H16">
        <v>0.85199999999999998</v>
      </c>
      <c r="I16">
        <v>0.78854254749681418</v>
      </c>
      <c r="J16">
        <v>45079</v>
      </c>
    </row>
    <row r="17" spans="1:10" x14ac:dyDescent="0.25">
      <c r="A17" t="s">
        <v>46</v>
      </c>
      <c r="B17" t="s">
        <v>2</v>
      </c>
      <c r="C17" t="s">
        <v>5</v>
      </c>
      <c r="D17" t="s">
        <v>16</v>
      </c>
      <c r="E17" t="s">
        <v>13</v>
      </c>
      <c r="H17">
        <v>1.5259999999999998</v>
      </c>
      <c r="I17">
        <v>1.4407950307175119</v>
      </c>
      <c r="J17">
        <v>41999</v>
      </c>
    </row>
    <row r="18" spans="1:10" x14ac:dyDescent="0.25">
      <c r="A18" t="s">
        <v>46</v>
      </c>
      <c r="B18" t="s">
        <v>8</v>
      </c>
      <c r="C18" t="s">
        <v>14</v>
      </c>
      <c r="H18">
        <v>0.41</v>
      </c>
      <c r="I18">
        <v>0.39195669318404697</v>
      </c>
      <c r="J18">
        <v>29054</v>
      </c>
    </row>
  </sheetData>
  <sortState ref="A1:J18">
    <sortCondition descending="1" ref="J1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Feasibility Report 1</vt:lpstr>
      <vt:lpstr>Backup</vt:lpstr>
      <vt:lpstr>Tableau</vt:lpstr>
      <vt:lpstr>Sheet3</vt:lpstr>
      <vt:lpstr>Sheet1</vt:lpstr>
      <vt:lpstr>LP2</vt:lpstr>
      <vt:lpstr>LP</vt:lpstr>
      <vt:lpstr>Tubular Rail Route</vt:lpstr>
      <vt:lpstr>Subway Route</vt:lpstr>
      <vt:lpstr>a</vt:lpstr>
      <vt:lpstr>coordinates</vt:lpstr>
      <vt:lpstr>stops</vt:lpstr>
      <vt:lpstr>weights</vt:lpstr>
      <vt:lpstr>workrow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 Casey</dc:creator>
  <cp:lastModifiedBy>Imran Khan</cp:lastModifiedBy>
  <dcterms:created xsi:type="dcterms:W3CDTF">2017-04-10T00:14:57Z</dcterms:created>
  <dcterms:modified xsi:type="dcterms:W3CDTF">2017-05-09T06:42:44Z</dcterms:modified>
</cp:coreProperties>
</file>